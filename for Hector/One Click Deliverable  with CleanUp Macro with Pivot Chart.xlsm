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q153\Desktop\Caltrans\for Hector\"/>
    </mc:Choice>
  </mc:AlternateContent>
  <bookViews>
    <workbookView xWindow="150" yWindow="630" windowWidth="27495" windowHeight="12465" activeTab="4"/>
  </bookViews>
  <sheets>
    <sheet name="RawData" sheetId="11" r:id="rId1"/>
    <sheet name="Formula" sheetId="3" r:id="rId2"/>
    <sheet name="Good Data" sheetId="4" r:id="rId3"/>
    <sheet name="Chart Data" sheetId="12" r:id="rId4"/>
    <sheet name="combineheaders" sheetId="13" r:id="rId5"/>
  </sheets>
  <definedNames>
    <definedName name="_xlnm._FilterDatabase" localSheetId="2" hidden="1">'Good Data'!$A$1:$AG$22</definedName>
  </definedNames>
  <calcPr calcId="152511"/>
</workbook>
</file>

<file path=xl/calcChain.xml><?xml version="1.0" encoding="utf-8"?>
<calcChain xmlns="http://schemas.openxmlformats.org/spreadsheetml/2006/main">
  <c r="C3" i="13" l="1"/>
  <c r="D3" i="13"/>
  <c r="E3" i="13"/>
  <c r="F3" i="13"/>
  <c r="G3" i="13"/>
  <c r="H3" i="13"/>
  <c r="I3" i="13"/>
  <c r="J3" i="13"/>
  <c r="K3" i="13"/>
  <c r="L3" i="13"/>
  <c r="M3" i="13"/>
  <c r="N3" i="13"/>
  <c r="O3" i="13"/>
  <c r="C4" i="13"/>
  <c r="D4" i="13"/>
  <c r="E4" i="13"/>
  <c r="F4" i="13"/>
  <c r="G4" i="13"/>
  <c r="H4" i="13"/>
  <c r="I4" i="13"/>
  <c r="J4" i="13"/>
  <c r="K4" i="13"/>
  <c r="L4" i="13"/>
  <c r="M4" i="13"/>
  <c r="N4" i="13"/>
  <c r="O4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D2" i="13"/>
  <c r="E2" i="13"/>
  <c r="F2" i="13"/>
  <c r="G2" i="13"/>
  <c r="H2" i="13"/>
  <c r="I2" i="13"/>
  <c r="J2" i="13"/>
  <c r="K2" i="13"/>
  <c r="L2" i="13"/>
  <c r="M2" i="13"/>
  <c r="N2" i="13"/>
  <c r="O2" i="13"/>
  <c r="C2" i="13"/>
  <c r="P2" i="13"/>
  <c r="B2" i="13"/>
  <c r="B3" i="13"/>
  <c r="B4" i="13"/>
  <c r="B5" i="13"/>
  <c r="B6" i="13"/>
  <c r="B7" i="13"/>
  <c r="B8" i="13"/>
  <c r="B9" i="13"/>
  <c r="B10" i="13"/>
  <c r="B11" i="13"/>
  <c r="J94" i="3" l="1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I2" i="3" l="1"/>
  <c r="I3" i="3" s="1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" i="3"/>
</calcChain>
</file>

<file path=xl/sharedStrings.xml><?xml version="1.0" encoding="utf-8"?>
<sst xmlns="http://schemas.openxmlformats.org/spreadsheetml/2006/main" count="363" uniqueCount="58">
  <si>
    <t>Check</t>
  </si>
  <si>
    <t>L1, L2, L3, L4, L5, L6, L7, L8, L9, L10, L11, L12, L13, L14, L15, L16, L17, L18, L19, L20, L21, L22, L23, L24</t>
  </si>
  <si>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</si>
  <si>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</si>
  <si>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</si>
  <si>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</si>
  <si>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</si>
  <si>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</si>
  <si>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</si>
  <si>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</si>
  <si>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04-19246</t>
  </si>
  <si>
    <t>HMA Thin Overlay</t>
  </si>
  <si>
    <t>SON</t>
  </si>
  <si>
    <t>001</t>
  </si>
  <si>
    <t>04-18973</t>
  </si>
  <si>
    <t>04-19289</t>
  </si>
  <si>
    <t>04-1R110</t>
  </si>
  <si>
    <t>Chip Seal</t>
  </si>
  <si>
    <t>04-0C340</t>
  </si>
  <si>
    <t>HMA Medium Overlay</t>
  </si>
  <si>
    <t>04-1R610</t>
  </si>
  <si>
    <t>04-0C490</t>
  </si>
  <si>
    <t>HMA Thick Overlay</t>
  </si>
  <si>
    <t>04-0C350</t>
  </si>
  <si>
    <t>04-2R220</t>
  </si>
  <si>
    <t>Digouts</t>
  </si>
  <si>
    <t>04-0E300</t>
  </si>
  <si>
    <t>04-0E350</t>
  </si>
  <si>
    <t>04-1E220</t>
  </si>
  <si>
    <t>04-2A630</t>
  </si>
  <si>
    <t>04-1E730</t>
  </si>
  <si>
    <t>04-2E530</t>
  </si>
  <si>
    <t/>
  </si>
  <si>
    <t>last</t>
  </si>
  <si>
    <t>L1</t>
  </si>
  <si>
    <t xml:space="preserve"> L2</t>
  </si>
  <si>
    <t xml:space="preserve"> L3</t>
  </si>
  <si>
    <t xml:space="preserve"> L4</t>
  </si>
  <si>
    <t xml:space="preserve"> L5</t>
  </si>
  <si>
    <t xml:space="preserve"> L6</t>
  </si>
  <si>
    <t xml:space="preserve"> L7</t>
  </si>
  <si>
    <t xml:space="preserve"> L8</t>
  </si>
  <si>
    <t xml:space="preserve"> L9</t>
  </si>
  <si>
    <t xml:space="preserve"> L10</t>
  </si>
  <si>
    <t xml:space="preserve"> L11</t>
  </si>
  <si>
    <t xml:space="preserve"> L12</t>
  </si>
  <si>
    <t xml:space="preserve"> L13</t>
  </si>
  <si>
    <t xml:space="preserve"> L14</t>
  </si>
  <si>
    <t xml:space="preserve"> L15</t>
  </si>
  <si>
    <t xml:space="preserve"> L16</t>
  </si>
  <si>
    <t xml:space="preserve"> L17</t>
  </si>
  <si>
    <t xml:space="preserve"> L18</t>
  </si>
  <si>
    <t xml:space="preserve"> L19</t>
  </si>
  <si>
    <t xml:space="preserve"> L20</t>
  </si>
  <si>
    <t xml:space="preserve"> L21</t>
  </si>
  <si>
    <t xml:space="preserve"> L22</t>
  </si>
  <si>
    <t xml:space="preserve"> L23</t>
  </si>
  <si>
    <t xml:space="preserve"> 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</si>
</sst>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right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6"/>
  <sheetViews>
    <sheetView workbookViewId="0">
      <selection sqref="A1:H22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1" spans="1:8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</row>
    <row r="2" spans="1:8">
      <c r="A2" t="s">
        <v>10</v>
      </c>
      <c r="B2" t="s">
        <v>11</v>
      </c>
      <c r="C2" t="s">
        <v>12</v>
      </c>
      <c r="D2" t="s">
        <v>13</v>
      </c>
      <c r="E2" s="1">
        <v>1992</v>
      </c>
      <c r="F2" s="1">
        <v>10</v>
      </c>
      <c r="G2" s="1">
        <v>11.07</v>
      </c>
      <c r="H2" s="1">
        <v>1.07</v>
      </c>
    </row>
    <row r="3" spans="1:8">
      <c r="A3" t="s">
        <v>14</v>
      </c>
      <c r="B3" t="s">
        <v>11</v>
      </c>
      <c r="C3" t="s">
        <v>12</v>
      </c>
      <c r="D3" t="s">
        <v>13</v>
      </c>
      <c r="E3" s="1">
        <v>1992</v>
      </c>
      <c r="F3" s="1">
        <v>50.6</v>
      </c>
      <c r="G3" s="1">
        <v>58.582999999999998</v>
      </c>
      <c r="H3" s="1">
        <v>7.9829999999999997</v>
      </c>
    </row>
    <row r="4" spans="1:8">
      <c r="A4" t="s">
        <v>15</v>
      </c>
      <c r="B4" t="s">
        <v>11</v>
      </c>
      <c r="C4" t="s">
        <v>12</v>
      </c>
      <c r="D4" t="s">
        <v>13</v>
      </c>
      <c r="E4" s="1">
        <v>1993</v>
      </c>
      <c r="F4" s="1">
        <v>24.524000000000001</v>
      </c>
      <c r="G4" s="1">
        <v>26.3</v>
      </c>
      <c r="H4" s="1">
        <v>1.776</v>
      </c>
    </row>
    <row r="5" spans="1:8">
      <c r="A5" t="s">
        <v>16</v>
      </c>
      <c r="B5" t="s">
        <v>17</v>
      </c>
      <c r="C5" t="s">
        <v>12</v>
      </c>
      <c r="D5" t="s">
        <v>13</v>
      </c>
      <c r="E5" s="1">
        <v>2000</v>
      </c>
      <c r="F5" s="1">
        <v>50.6</v>
      </c>
      <c r="G5" s="1">
        <v>58.582999999999998</v>
      </c>
      <c r="H5" s="1">
        <v>7.9829999999999997</v>
      </c>
    </row>
    <row r="6" spans="1:8">
      <c r="A6" t="s">
        <v>18</v>
      </c>
      <c r="B6" t="s">
        <v>19</v>
      </c>
      <c r="C6" t="s">
        <v>12</v>
      </c>
      <c r="D6" t="s">
        <v>13</v>
      </c>
      <c r="E6" s="1">
        <v>2001</v>
      </c>
      <c r="F6" s="1">
        <v>0</v>
      </c>
      <c r="G6" s="1">
        <v>8.1999999999999993</v>
      </c>
      <c r="H6" s="1">
        <v>8.1999999999999993</v>
      </c>
    </row>
    <row r="7" spans="1:8">
      <c r="A7" t="s">
        <v>20</v>
      </c>
      <c r="B7" t="s">
        <v>11</v>
      </c>
      <c r="C7" t="s">
        <v>12</v>
      </c>
      <c r="D7" t="s">
        <v>13</v>
      </c>
      <c r="E7" s="1">
        <v>2001</v>
      </c>
      <c r="F7" s="1">
        <v>8.1999999999999993</v>
      </c>
      <c r="G7" s="1">
        <v>12.486000000000001</v>
      </c>
      <c r="H7" s="1">
        <v>4.2859999999999996</v>
      </c>
    </row>
    <row r="8" spans="1:8">
      <c r="A8" t="s">
        <v>21</v>
      </c>
      <c r="B8" t="s">
        <v>22</v>
      </c>
      <c r="C8" t="s">
        <v>12</v>
      </c>
      <c r="D8" t="s">
        <v>13</v>
      </c>
      <c r="E8" s="1">
        <v>2001</v>
      </c>
      <c r="F8" s="1">
        <v>35.5</v>
      </c>
      <c r="G8" s="1">
        <v>39.5</v>
      </c>
      <c r="H8" s="1">
        <v>4</v>
      </c>
    </row>
    <row r="9" spans="1:8">
      <c r="A9" t="s">
        <v>21</v>
      </c>
      <c r="B9" t="s">
        <v>22</v>
      </c>
      <c r="C9" t="s">
        <v>12</v>
      </c>
      <c r="D9" t="s">
        <v>13</v>
      </c>
      <c r="E9" s="1">
        <v>2001</v>
      </c>
      <c r="F9" s="1">
        <v>39.5</v>
      </c>
      <c r="G9" s="1">
        <v>42</v>
      </c>
      <c r="H9" s="1">
        <v>2.5</v>
      </c>
    </row>
    <row r="10" spans="1:8">
      <c r="A10" t="s">
        <v>21</v>
      </c>
      <c r="B10" t="s">
        <v>22</v>
      </c>
      <c r="C10" t="s">
        <v>12</v>
      </c>
      <c r="D10" t="s">
        <v>13</v>
      </c>
      <c r="E10" s="1">
        <v>2001</v>
      </c>
      <c r="F10" s="1">
        <v>42</v>
      </c>
      <c r="G10" s="1">
        <v>43</v>
      </c>
      <c r="H10" s="1">
        <v>1</v>
      </c>
    </row>
    <row r="11" spans="1:8">
      <c r="A11" t="s">
        <v>21</v>
      </c>
      <c r="B11" t="s">
        <v>19</v>
      </c>
      <c r="C11" t="s">
        <v>12</v>
      </c>
      <c r="D11" t="s">
        <v>13</v>
      </c>
      <c r="E11" s="1">
        <v>2001</v>
      </c>
      <c r="F11" s="1">
        <v>43</v>
      </c>
      <c r="G11" s="1">
        <v>48</v>
      </c>
      <c r="H11" s="1">
        <v>5</v>
      </c>
    </row>
    <row r="12" spans="1:8">
      <c r="A12" t="s">
        <v>21</v>
      </c>
      <c r="B12" t="s">
        <v>22</v>
      </c>
      <c r="C12" t="s">
        <v>12</v>
      </c>
      <c r="D12" t="s">
        <v>13</v>
      </c>
      <c r="E12" s="1">
        <v>2001</v>
      </c>
      <c r="F12" s="1">
        <v>48</v>
      </c>
      <c r="G12" s="1">
        <v>50.6</v>
      </c>
      <c r="H12" s="1">
        <v>2.6</v>
      </c>
    </row>
    <row r="13" spans="1:8">
      <c r="A13" t="s">
        <v>23</v>
      </c>
      <c r="B13" t="s">
        <v>19</v>
      </c>
      <c r="C13" t="s">
        <v>12</v>
      </c>
      <c r="D13" t="s">
        <v>13</v>
      </c>
      <c r="E13" s="1">
        <v>2004</v>
      </c>
      <c r="F13" s="1">
        <v>16.100000000000001</v>
      </c>
      <c r="G13" s="1">
        <v>19.715</v>
      </c>
      <c r="H13" s="1">
        <v>3.6150000000000002</v>
      </c>
    </row>
    <row r="14" spans="1:8">
      <c r="A14" t="s">
        <v>24</v>
      </c>
      <c r="B14" t="s">
        <v>25</v>
      </c>
      <c r="C14" t="s">
        <v>12</v>
      </c>
      <c r="D14" t="s">
        <v>13</v>
      </c>
      <c r="E14" s="1">
        <v>2005</v>
      </c>
      <c r="F14" s="1">
        <v>19.885000000000002</v>
      </c>
      <c r="G14" s="1">
        <v>25</v>
      </c>
      <c r="H14" s="1">
        <v>5.1150000000000002</v>
      </c>
    </row>
    <row r="15" spans="1:8">
      <c r="A15" t="s">
        <v>26</v>
      </c>
      <c r="B15" t="s">
        <v>25</v>
      </c>
      <c r="C15" t="s">
        <v>12</v>
      </c>
      <c r="D15" t="s">
        <v>13</v>
      </c>
      <c r="E15" s="1">
        <v>2006</v>
      </c>
      <c r="F15" s="1">
        <v>50.6</v>
      </c>
      <c r="G15" s="1">
        <v>58.582999999999998</v>
      </c>
      <c r="H15" s="1">
        <v>7.9829999999999997</v>
      </c>
    </row>
    <row r="16" spans="1:8">
      <c r="A16" t="s">
        <v>27</v>
      </c>
      <c r="B16" t="s">
        <v>11</v>
      </c>
      <c r="C16" t="s">
        <v>12</v>
      </c>
      <c r="D16" t="s">
        <v>13</v>
      </c>
      <c r="E16" s="1">
        <v>2009</v>
      </c>
      <c r="F16" s="1">
        <v>19.885000000000002</v>
      </c>
      <c r="G16" s="1">
        <v>24.504000000000001</v>
      </c>
      <c r="H16" s="1">
        <v>4.6189999999999998</v>
      </c>
    </row>
    <row r="17" spans="1:8">
      <c r="A17" t="s">
        <v>28</v>
      </c>
      <c r="B17" t="s">
        <v>25</v>
      </c>
      <c r="C17" t="s">
        <v>12</v>
      </c>
      <c r="D17" t="s">
        <v>13</v>
      </c>
      <c r="E17" s="1">
        <v>2009</v>
      </c>
      <c r="F17" s="1">
        <v>50.6</v>
      </c>
      <c r="G17" s="1">
        <v>58.582999999999998</v>
      </c>
      <c r="H17" s="1">
        <v>7.9829999999999997</v>
      </c>
    </row>
    <row r="18" spans="1:8">
      <c r="A18" t="s">
        <v>29</v>
      </c>
      <c r="B18" t="s">
        <v>19</v>
      </c>
      <c r="C18" t="s">
        <v>12</v>
      </c>
      <c r="D18" t="s">
        <v>13</v>
      </c>
      <c r="E18" s="1">
        <v>2010</v>
      </c>
      <c r="F18" s="1">
        <v>16.2</v>
      </c>
      <c r="G18" s="1">
        <v>16.3</v>
      </c>
      <c r="H18" s="1">
        <v>0.1</v>
      </c>
    </row>
    <row r="19" spans="1:8">
      <c r="A19" t="s">
        <v>29</v>
      </c>
      <c r="B19" t="s">
        <v>19</v>
      </c>
      <c r="C19" t="s">
        <v>12</v>
      </c>
      <c r="D19" t="s">
        <v>13</v>
      </c>
      <c r="E19" s="1">
        <v>2010</v>
      </c>
      <c r="F19" s="1">
        <v>16.3</v>
      </c>
      <c r="G19" s="1">
        <v>16.399999999999999</v>
      </c>
      <c r="H19" s="1">
        <v>0.1</v>
      </c>
    </row>
    <row r="20" spans="1:8">
      <c r="A20" t="s">
        <v>30</v>
      </c>
      <c r="B20" t="s">
        <v>11</v>
      </c>
      <c r="C20" t="s">
        <v>12</v>
      </c>
      <c r="D20" t="s">
        <v>13</v>
      </c>
      <c r="E20" s="1">
        <v>2010</v>
      </c>
      <c r="F20" s="1">
        <v>50.6</v>
      </c>
      <c r="G20" s="1">
        <v>58.582999999999998</v>
      </c>
      <c r="H20" s="1">
        <v>7.9829999999999997</v>
      </c>
    </row>
    <row r="21" spans="1:8">
      <c r="A21" t="s">
        <v>31</v>
      </c>
      <c r="B21" t="s">
        <v>25</v>
      </c>
      <c r="C21" t="s">
        <v>12</v>
      </c>
      <c r="D21" t="s">
        <v>13</v>
      </c>
      <c r="E21" s="1">
        <v>2012</v>
      </c>
      <c r="F21" s="1">
        <v>30.5</v>
      </c>
      <c r="G21" s="1">
        <v>35.5</v>
      </c>
      <c r="H21" s="1">
        <v>5</v>
      </c>
    </row>
    <row r="22" spans="1:8">
      <c r="A22" t="s">
        <v>31</v>
      </c>
      <c r="B22" t="s">
        <v>11</v>
      </c>
      <c r="C22" t="s">
        <v>12</v>
      </c>
      <c r="D22" t="s">
        <v>13</v>
      </c>
      <c r="E22" s="1">
        <v>2012</v>
      </c>
      <c r="F22" s="1">
        <v>30.5</v>
      </c>
      <c r="G22" s="1">
        <v>50.6</v>
      </c>
      <c r="H22" s="1">
        <v>20.100000000000001</v>
      </c>
    </row>
    <row r="23" spans="1:8">
      <c r="E23" s="1"/>
      <c r="F23" s="1"/>
      <c r="G23" s="1"/>
      <c r="H23" s="1"/>
    </row>
    <row r="24" spans="1:8">
      <c r="E24" s="1"/>
      <c r="F24" s="1"/>
      <c r="G24" s="1"/>
      <c r="H24" s="1"/>
    </row>
    <row r="25" spans="1:8">
      <c r="E25" s="1"/>
      <c r="F25" s="1"/>
      <c r="G25" s="1"/>
      <c r="H25" s="1"/>
    </row>
    <row r="26" spans="1:8">
      <c r="E26" s="1"/>
      <c r="F26" s="1"/>
      <c r="G26" s="1"/>
      <c r="H26" s="1"/>
    </row>
    <row r="27" spans="1:8">
      <c r="E27" s="1"/>
      <c r="F27" s="1"/>
      <c r="G27" s="1"/>
      <c r="H27" s="1"/>
    </row>
    <row r="28" spans="1:8">
      <c r="E28" s="1"/>
      <c r="F28" s="1"/>
      <c r="G28" s="1"/>
      <c r="H28" s="1"/>
    </row>
    <row r="29" spans="1:8">
      <c r="E29" s="1"/>
      <c r="F29" s="1"/>
      <c r="G29" s="1"/>
      <c r="H29" s="1"/>
    </row>
    <row r="30" spans="1:8">
      <c r="E30" s="1"/>
      <c r="F30" s="1"/>
      <c r="G30" s="1"/>
      <c r="H30" s="1"/>
    </row>
    <row r="31" spans="1:8">
      <c r="E31" s="1"/>
      <c r="F31" s="1"/>
      <c r="G31" s="1"/>
      <c r="H31" s="1"/>
    </row>
    <row r="32" spans="1:8">
      <c r="E32" s="1"/>
      <c r="F32" s="1"/>
      <c r="G32" s="1"/>
      <c r="H32" s="1"/>
    </row>
    <row r="33" spans="5:8">
      <c r="E33" s="1"/>
      <c r="F33" s="1"/>
      <c r="G33" s="1"/>
      <c r="H33" s="1"/>
    </row>
    <row r="34" spans="5:8">
      <c r="E34" s="1"/>
      <c r="F34" s="1"/>
      <c r="G34" s="1"/>
      <c r="H34" s="1"/>
    </row>
    <row r="35" spans="5:8">
      <c r="E35" s="1"/>
      <c r="F35" s="1"/>
      <c r="G35" s="1"/>
      <c r="H35" s="1"/>
    </row>
    <row r="36" spans="5:8">
      <c r="E36" s="1"/>
      <c r="F36" s="1"/>
      <c r="G36" s="1"/>
      <c r="H36" s="1"/>
    </row>
    <row r="37" spans="5:8">
      <c r="E37" s="1"/>
      <c r="F37" s="1"/>
      <c r="G37" s="1"/>
      <c r="H37" s="1"/>
    </row>
    <row r="38" spans="5:8">
      <c r="E38" s="1"/>
      <c r="F38" s="1"/>
      <c r="G38" s="1"/>
      <c r="H38" s="1"/>
    </row>
    <row r="39" spans="5:8">
      <c r="E39" s="1"/>
      <c r="F39" s="1"/>
      <c r="G39" s="1"/>
      <c r="H39" s="1"/>
    </row>
    <row r="40" spans="5:8">
      <c r="E40" s="1"/>
      <c r="F40" s="1"/>
      <c r="G40" s="1"/>
      <c r="H40" s="1"/>
    </row>
    <row r="41" spans="5:8">
      <c r="E41" s="1"/>
      <c r="F41" s="1"/>
      <c r="G41" s="1"/>
      <c r="H41" s="1"/>
    </row>
    <row r="42" spans="5:8">
      <c r="E42" s="1"/>
      <c r="F42" s="1"/>
      <c r="G42" s="1"/>
      <c r="H42" s="1"/>
    </row>
    <row r="43" spans="5:8">
      <c r="E43" s="1"/>
      <c r="F43" s="1"/>
      <c r="G43" s="1"/>
      <c r="H43" s="1"/>
    </row>
    <row r="44" spans="5:8">
      <c r="E44" s="1"/>
      <c r="F44" s="1"/>
      <c r="G44" s="1"/>
      <c r="H44" s="1"/>
    </row>
    <row r="45" spans="5:8">
      <c r="E45" s="1"/>
      <c r="F45" s="1"/>
      <c r="G45" s="1"/>
      <c r="H45" s="1"/>
    </row>
    <row r="46" spans="5:8">
      <c r="E46" s="1"/>
      <c r="F46" s="1"/>
      <c r="G46" s="1"/>
      <c r="H46" s="1"/>
    </row>
    <row r="47" spans="5:8">
      <c r="E47" s="1"/>
      <c r="F47" s="1"/>
      <c r="G47" s="1"/>
      <c r="H47" s="1"/>
    </row>
    <row r="48" spans="5:8">
      <c r="E48" s="1"/>
      <c r="F48" s="1"/>
      <c r="G48" s="1"/>
      <c r="H48" s="1"/>
    </row>
    <row r="49" spans="5:8">
      <c r="E49" s="1"/>
      <c r="F49" s="1"/>
      <c r="G49" s="1"/>
      <c r="H49" s="1"/>
    </row>
    <row r="50" spans="5:8">
      <c r="E50" s="1"/>
      <c r="F50" s="1"/>
      <c r="G50" s="1"/>
      <c r="H50" s="1"/>
    </row>
    <row r="51" spans="5:8">
      <c r="E51" s="1"/>
      <c r="F51" s="1"/>
      <c r="G51" s="1"/>
      <c r="H51" s="1"/>
    </row>
    <row r="52" spans="5:8">
      <c r="E52" s="1"/>
      <c r="F52" s="1"/>
      <c r="G52" s="1"/>
      <c r="H52" s="1"/>
    </row>
    <row r="53" spans="5:8">
      <c r="E53" s="1"/>
      <c r="F53" s="1"/>
      <c r="G53" s="1"/>
      <c r="H53" s="1"/>
    </row>
    <row r="54" spans="5:8">
      <c r="E54" s="1"/>
      <c r="F54" s="1"/>
      <c r="G54" s="1"/>
      <c r="H54" s="1"/>
    </row>
    <row r="55" spans="5:8">
      <c r="E55" s="1"/>
      <c r="F55" s="1"/>
      <c r="G55" s="1"/>
      <c r="H55" s="1"/>
    </row>
    <row r="56" spans="5:8">
      <c r="E56" s="1"/>
      <c r="F56" s="1"/>
      <c r="G56" s="1"/>
      <c r="H56" s="1"/>
    </row>
    <row r="57" spans="5:8">
      <c r="E57" s="1"/>
      <c r="F57" s="1"/>
      <c r="G57" s="1"/>
      <c r="H57" s="1"/>
    </row>
    <row r="58" spans="5:8">
      <c r="E58" s="1"/>
      <c r="F58" s="1"/>
      <c r="G58" s="1"/>
      <c r="H58" s="1"/>
    </row>
    <row r="59" spans="5:8">
      <c r="E59" s="1"/>
      <c r="F59" s="1"/>
      <c r="G59" s="1"/>
      <c r="H59" s="1"/>
    </row>
    <row r="60" spans="5:8">
      <c r="E60" s="1"/>
      <c r="F60" s="1"/>
      <c r="G60" s="1"/>
      <c r="H60" s="1"/>
    </row>
    <row r="61" spans="5:8">
      <c r="E61" s="1"/>
      <c r="F61" s="1"/>
      <c r="G61" s="1"/>
      <c r="H61" s="1"/>
    </row>
    <row r="62" spans="5:8">
      <c r="E62" s="1"/>
      <c r="F62" s="1"/>
      <c r="G62" s="1"/>
      <c r="H62" s="1"/>
    </row>
    <row r="63" spans="5:8">
      <c r="E63" s="1"/>
      <c r="F63" s="1"/>
      <c r="G63" s="1"/>
      <c r="H63" s="1"/>
    </row>
    <row r="64" spans="5:8">
      <c r="E64" s="1"/>
      <c r="F64" s="1"/>
      <c r="G64" s="1"/>
      <c r="H64" s="1"/>
    </row>
    <row r="65" spans="5:8">
      <c r="E65" s="1"/>
      <c r="F65" s="1"/>
      <c r="G65" s="1"/>
      <c r="H65" s="1"/>
    </row>
    <row r="66" spans="5:8">
      <c r="E66" s="1"/>
      <c r="F66" s="1"/>
      <c r="G66" s="1"/>
      <c r="H66" s="1"/>
    </row>
    <row r="67" spans="5:8">
      <c r="E67" s="1"/>
      <c r="F67" s="1"/>
      <c r="G67" s="1"/>
      <c r="H67" s="1"/>
    </row>
    <row r="68" spans="5:8">
      <c r="E68" s="1"/>
      <c r="F68" s="1"/>
      <c r="G68" s="1"/>
      <c r="H68" s="1"/>
    </row>
    <row r="69" spans="5:8">
      <c r="E69" s="1"/>
      <c r="F69" s="1"/>
      <c r="G69" s="1"/>
      <c r="H69" s="1"/>
    </row>
    <row r="70" spans="5:8">
      <c r="E70" s="1"/>
      <c r="F70" s="1"/>
      <c r="G70" s="1"/>
      <c r="H70" s="1"/>
    </row>
    <row r="71" spans="5:8">
      <c r="E71" s="1"/>
      <c r="F71" s="1"/>
      <c r="G71" s="1"/>
      <c r="H71" s="1"/>
    </row>
    <row r="72" spans="5:8">
      <c r="E72" s="1"/>
      <c r="F72" s="1"/>
      <c r="G72" s="1"/>
      <c r="H72" s="1"/>
    </row>
    <row r="73" spans="5:8">
      <c r="E73" s="1"/>
      <c r="F73" s="1"/>
      <c r="G73" s="1"/>
      <c r="H73" s="1"/>
    </row>
    <row r="74" spans="5:8">
      <c r="E74" s="1"/>
      <c r="F74" s="1"/>
      <c r="G74" s="1"/>
      <c r="H74" s="1"/>
    </row>
    <row r="75" spans="5:8">
      <c r="E75" s="1"/>
      <c r="F75" s="1"/>
      <c r="G75" s="1"/>
      <c r="H75" s="1"/>
    </row>
    <row r="76" spans="5:8">
      <c r="E76" s="1"/>
      <c r="F76" s="1"/>
      <c r="G76" s="1"/>
      <c r="H7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88"/>
  <sheetViews>
    <sheetView zoomScale="115" zoomScaleNormal="115" workbookViewId="0">
      <selection sqref="A1:J22"/>
    </sheetView>
  </sheetViews>
  <sheetFormatPr defaultRowHeight="15"/>
  <cols>
    <col min="9" max="9" width="134.5703125" customWidth="1"/>
  </cols>
  <sheetData>
    <row r="1" spans="1:10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</v>
      </c>
      <c r="J1" t="s">
        <v>0</v>
      </c>
    </row>
    <row r="2" spans="1:10">
      <c r="A2" t="s">
        <v>10</v>
      </c>
      <c r="B2" t="s">
        <v>11</v>
      </c>
      <c r="C2" t="s">
        <v>12</v>
      </c>
      <c r="D2" t="s">
        <v>13</v>
      </c>
      <c r="E2" s="1">
        <v>1992</v>
      </c>
      <c r="F2" s="1">
        <v>10</v>
      </c>
      <c r="G2" s="1">
        <v>11.07</v>
      </c>
      <c r="H2" s="1">
        <v>1.07</v>
      </c>
      <c r="I2" t="str">
        <f t="shared" ref="I2:I65" si="0">IF(E1=E2, I1&amp;", "&amp;IF((F2-G1)&lt;0, 0, (F2-G1))&amp;", "&amp;IF((F2-G1)&lt;0, H2+(F2-G1), H2), F2&amp;", "&amp;H2)</f>
        <v>10, 1.07</v>
      </c>
      <c r="J2" t="str">
        <f t="shared" ref="J2:J65" si="1">IF(E3&lt;&gt;E2,"last", "")</f>
        <v/>
      </c>
    </row>
    <row r="3" spans="1:10">
      <c r="A3" t="s">
        <v>14</v>
      </c>
      <c r="B3" t="s">
        <v>11</v>
      </c>
      <c r="C3" t="s">
        <v>12</v>
      </c>
      <c r="D3" t="s">
        <v>13</v>
      </c>
      <c r="E3" s="1">
        <v>1992</v>
      </c>
      <c r="F3" s="1">
        <v>50.6</v>
      </c>
      <c r="G3" s="1">
        <v>58.582999999999998</v>
      </c>
      <c r="H3" s="1">
        <v>7.9829999999999997</v>
      </c>
      <c r="I3" t="str">
        <f t="shared" si="0"/>
        <v>10, 1.07, 39.53, 7.983</v>
      </c>
      <c r="J3" t="str">
        <f t="shared" si="1"/>
        <v>last</v>
      </c>
    </row>
    <row r="4" spans="1:10">
      <c r="A4" t="s">
        <v>15</v>
      </c>
      <c r="B4" t="s">
        <v>11</v>
      </c>
      <c r="C4" t="s">
        <v>12</v>
      </c>
      <c r="D4" t="s">
        <v>13</v>
      </c>
      <c r="E4" s="1">
        <v>1993</v>
      </c>
      <c r="F4" s="1">
        <v>24.524000000000001</v>
      </c>
      <c r="G4" s="1">
        <v>26.3</v>
      </c>
      <c r="H4" s="1">
        <v>1.776</v>
      </c>
      <c r="I4" t="str">
        <f t="shared" si="0"/>
        <v>24.524, 1.776</v>
      </c>
      <c r="J4" t="str">
        <f t="shared" si="1"/>
        <v>last</v>
      </c>
    </row>
    <row r="5" spans="1:10">
      <c r="A5" t="s">
        <v>16</v>
      </c>
      <c r="B5" t="s">
        <v>17</v>
      </c>
      <c r="C5" t="s">
        <v>12</v>
      </c>
      <c r="D5" t="s">
        <v>13</v>
      </c>
      <c r="E5" s="1">
        <v>2000</v>
      </c>
      <c r="F5" s="1">
        <v>50.6</v>
      </c>
      <c r="G5" s="1">
        <v>58.582999999999998</v>
      </c>
      <c r="H5" s="1">
        <v>7.9829999999999997</v>
      </c>
      <c r="I5" t="str">
        <f t="shared" si="0"/>
        <v>50.6, 7.983</v>
      </c>
      <c r="J5" t="str">
        <f t="shared" si="1"/>
        <v>last</v>
      </c>
    </row>
    <row r="6" spans="1:10">
      <c r="A6" t="s">
        <v>18</v>
      </c>
      <c r="B6" t="s">
        <v>19</v>
      </c>
      <c r="C6" t="s">
        <v>12</v>
      </c>
      <c r="D6" t="s">
        <v>13</v>
      </c>
      <c r="E6" s="1">
        <v>2001</v>
      </c>
      <c r="F6" s="1">
        <v>0</v>
      </c>
      <c r="G6" s="1">
        <v>8.1999999999999993</v>
      </c>
      <c r="H6" s="1">
        <v>8.1999999999999993</v>
      </c>
      <c r="I6" t="str">
        <f t="shared" si="0"/>
        <v>0, 8.2</v>
      </c>
      <c r="J6" t="str">
        <f t="shared" si="1"/>
        <v/>
      </c>
    </row>
    <row r="7" spans="1:10">
      <c r="A7" t="s">
        <v>20</v>
      </c>
      <c r="B7" t="s">
        <v>11</v>
      </c>
      <c r="C7" t="s">
        <v>12</v>
      </c>
      <c r="D7" t="s">
        <v>13</v>
      </c>
      <c r="E7" s="1">
        <v>2001</v>
      </c>
      <c r="F7" s="1">
        <v>8.1999999999999993</v>
      </c>
      <c r="G7" s="1">
        <v>12.486000000000001</v>
      </c>
      <c r="H7" s="1">
        <v>4.2859999999999996</v>
      </c>
      <c r="I7" t="str">
        <f t="shared" si="0"/>
        <v>0, 8.2, 0, 4.286</v>
      </c>
      <c r="J7" t="str">
        <f t="shared" si="1"/>
        <v/>
      </c>
    </row>
    <row r="8" spans="1:10">
      <c r="A8" t="s">
        <v>21</v>
      </c>
      <c r="B8" t="s">
        <v>22</v>
      </c>
      <c r="C8" t="s">
        <v>12</v>
      </c>
      <c r="D8" t="s">
        <v>13</v>
      </c>
      <c r="E8" s="1">
        <v>2001</v>
      </c>
      <c r="F8" s="1">
        <v>35.5</v>
      </c>
      <c r="G8" s="1">
        <v>39.5</v>
      </c>
      <c r="H8" s="1">
        <v>4</v>
      </c>
      <c r="I8" t="str">
        <f t="shared" si="0"/>
        <v>0, 8.2, 0, 4.286, 23.014, 4</v>
      </c>
      <c r="J8" t="str">
        <f t="shared" si="1"/>
        <v/>
      </c>
    </row>
    <row r="9" spans="1:10">
      <c r="A9" t="s">
        <v>21</v>
      </c>
      <c r="B9" t="s">
        <v>22</v>
      </c>
      <c r="C9" t="s">
        <v>12</v>
      </c>
      <c r="D9" t="s">
        <v>13</v>
      </c>
      <c r="E9" s="1">
        <v>2001</v>
      </c>
      <c r="F9" s="1">
        <v>39.5</v>
      </c>
      <c r="G9" s="1">
        <v>42</v>
      </c>
      <c r="H9" s="1">
        <v>2.5</v>
      </c>
      <c r="I9" t="str">
        <f t="shared" si="0"/>
        <v>0, 8.2, 0, 4.286, 23.014, 4, 0, 2.5</v>
      </c>
      <c r="J9" t="str">
        <f t="shared" si="1"/>
        <v/>
      </c>
    </row>
    <row r="10" spans="1:10">
      <c r="A10" t="s">
        <v>21</v>
      </c>
      <c r="B10" t="s">
        <v>22</v>
      </c>
      <c r="C10" t="s">
        <v>12</v>
      </c>
      <c r="D10" t="s">
        <v>13</v>
      </c>
      <c r="E10" s="1">
        <v>2001</v>
      </c>
      <c r="F10" s="1">
        <v>42</v>
      </c>
      <c r="G10" s="1">
        <v>43</v>
      </c>
      <c r="H10" s="1">
        <v>1</v>
      </c>
      <c r="I10" t="str">
        <f t="shared" si="0"/>
        <v>0, 8.2, 0, 4.286, 23.014, 4, 0, 2.5, 0, 1</v>
      </c>
      <c r="J10" t="str">
        <f t="shared" si="1"/>
        <v/>
      </c>
    </row>
    <row r="11" spans="1:10">
      <c r="A11" t="s">
        <v>21</v>
      </c>
      <c r="B11" t="s">
        <v>19</v>
      </c>
      <c r="C11" t="s">
        <v>12</v>
      </c>
      <c r="D11" t="s">
        <v>13</v>
      </c>
      <c r="E11" s="1">
        <v>2001</v>
      </c>
      <c r="F11" s="1">
        <v>43</v>
      </c>
      <c r="G11" s="1">
        <v>48</v>
      </c>
      <c r="H11" s="1">
        <v>5</v>
      </c>
      <c r="I11" t="str">
        <f t="shared" si="0"/>
        <v>0, 8.2, 0, 4.286, 23.014, 4, 0, 2.5, 0, 1, 0, 5</v>
      </c>
      <c r="J11" t="str">
        <f t="shared" si="1"/>
        <v/>
      </c>
    </row>
    <row r="12" spans="1:10">
      <c r="A12" t="s">
        <v>21</v>
      </c>
      <c r="B12" t="s">
        <v>22</v>
      </c>
      <c r="C12" t="s">
        <v>12</v>
      </c>
      <c r="D12" t="s">
        <v>13</v>
      </c>
      <c r="E12" s="1">
        <v>2001</v>
      </c>
      <c r="F12" s="1">
        <v>48</v>
      </c>
      <c r="G12" s="1">
        <v>50.6</v>
      </c>
      <c r="H12" s="1">
        <v>2.6</v>
      </c>
      <c r="I12" t="str">
        <f t="shared" si="0"/>
        <v>0, 8.2, 0, 4.286, 23.014, 4, 0, 2.5, 0, 1, 0, 5, 0, 2.6</v>
      </c>
      <c r="J12" t="str">
        <f t="shared" si="1"/>
        <v>last</v>
      </c>
    </row>
    <row r="13" spans="1:10">
      <c r="A13" t="s">
        <v>23</v>
      </c>
      <c r="B13" t="s">
        <v>19</v>
      </c>
      <c r="C13" t="s">
        <v>12</v>
      </c>
      <c r="D13" t="s">
        <v>13</v>
      </c>
      <c r="E13" s="1">
        <v>2004</v>
      </c>
      <c r="F13" s="1">
        <v>16.100000000000001</v>
      </c>
      <c r="G13" s="1">
        <v>19.715</v>
      </c>
      <c r="H13" s="1">
        <v>3.6150000000000002</v>
      </c>
      <c r="I13" t="str">
        <f t="shared" si="0"/>
        <v>16.1, 3.615</v>
      </c>
      <c r="J13" t="str">
        <f t="shared" si="1"/>
        <v>last</v>
      </c>
    </row>
    <row r="14" spans="1:10">
      <c r="A14" t="s">
        <v>24</v>
      </c>
      <c r="B14" t="s">
        <v>25</v>
      </c>
      <c r="C14" t="s">
        <v>12</v>
      </c>
      <c r="D14" t="s">
        <v>13</v>
      </c>
      <c r="E14" s="1">
        <v>2005</v>
      </c>
      <c r="F14" s="1">
        <v>19.885000000000002</v>
      </c>
      <c r="G14" s="1">
        <v>25</v>
      </c>
      <c r="H14" s="1">
        <v>5.1150000000000002</v>
      </c>
      <c r="I14" t="str">
        <f t="shared" si="0"/>
        <v>19.885, 5.115</v>
      </c>
      <c r="J14" t="str">
        <f t="shared" si="1"/>
        <v>last</v>
      </c>
    </row>
    <row r="15" spans="1:10">
      <c r="A15" t="s">
        <v>26</v>
      </c>
      <c r="B15" t="s">
        <v>25</v>
      </c>
      <c r="C15" t="s">
        <v>12</v>
      </c>
      <c r="D15" t="s">
        <v>13</v>
      </c>
      <c r="E15" s="1">
        <v>2006</v>
      </c>
      <c r="F15" s="1">
        <v>50.6</v>
      </c>
      <c r="G15" s="1">
        <v>58.582999999999998</v>
      </c>
      <c r="H15" s="1">
        <v>7.9829999999999997</v>
      </c>
      <c r="I15" t="str">
        <f t="shared" si="0"/>
        <v>50.6, 7.983</v>
      </c>
      <c r="J15" t="str">
        <f t="shared" si="1"/>
        <v>last</v>
      </c>
    </row>
    <row r="16" spans="1:10">
      <c r="A16" t="s">
        <v>27</v>
      </c>
      <c r="B16" t="s">
        <v>11</v>
      </c>
      <c r="C16" t="s">
        <v>12</v>
      </c>
      <c r="D16" t="s">
        <v>13</v>
      </c>
      <c r="E16" s="1">
        <v>2009</v>
      </c>
      <c r="F16" s="1">
        <v>19.885000000000002</v>
      </c>
      <c r="G16" s="1">
        <v>24.504000000000001</v>
      </c>
      <c r="H16" s="1">
        <v>4.6189999999999998</v>
      </c>
      <c r="I16" t="str">
        <f t="shared" si="0"/>
        <v>19.885, 4.619</v>
      </c>
      <c r="J16" t="str">
        <f t="shared" si="1"/>
        <v/>
      </c>
    </row>
    <row r="17" spans="1:10">
      <c r="A17" t="s">
        <v>28</v>
      </c>
      <c r="B17" t="s">
        <v>25</v>
      </c>
      <c r="C17" t="s">
        <v>12</v>
      </c>
      <c r="D17" t="s">
        <v>13</v>
      </c>
      <c r="E17" s="1">
        <v>2009</v>
      </c>
      <c r="F17" s="1">
        <v>50.6</v>
      </c>
      <c r="G17" s="1">
        <v>58.582999999999998</v>
      </c>
      <c r="H17" s="1">
        <v>7.9829999999999997</v>
      </c>
      <c r="I17" t="str">
        <f t="shared" si="0"/>
        <v>19.885, 4.619, 26.096, 7.983</v>
      </c>
      <c r="J17" t="str">
        <f t="shared" si="1"/>
        <v>last</v>
      </c>
    </row>
    <row r="18" spans="1:10">
      <c r="A18" t="s">
        <v>29</v>
      </c>
      <c r="B18" t="s">
        <v>19</v>
      </c>
      <c r="C18" t="s">
        <v>12</v>
      </c>
      <c r="D18" t="s">
        <v>13</v>
      </c>
      <c r="E18" s="1">
        <v>2010</v>
      </c>
      <c r="F18" s="1">
        <v>16.2</v>
      </c>
      <c r="G18" s="1">
        <v>16.3</v>
      </c>
      <c r="H18" s="1">
        <v>0.1</v>
      </c>
      <c r="I18" t="str">
        <f t="shared" si="0"/>
        <v>16.2, 0.1</v>
      </c>
      <c r="J18" t="str">
        <f t="shared" si="1"/>
        <v/>
      </c>
    </row>
    <row r="19" spans="1:10">
      <c r="A19" t="s">
        <v>29</v>
      </c>
      <c r="B19" t="s">
        <v>19</v>
      </c>
      <c r="C19" t="s">
        <v>12</v>
      </c>
      <c r="D19" t="s">
        <v>13</v>
      </c>
      <c r="E19" s="1">
        <v>2010</v>
      </c>
      <c r="F19" s="1">
        <v>16.3</v>
      </c>
      <c r="G19" s="1">
        <v>16.399999999999999</v>
      </c>
      <c r="H19" s="1">
        <v>0.1</v>
      </c>
      <c r="I19" t="str">
        <f t="shared" si="0"/>
        <v>16.2, 0.1, 0, 0.1</v>
      </c>
      <c r="J19" t="str">
        <f t="shared" si="1"/>
        <v/>
      </c>
    </row>
    <row r="20" spans="1:10">
      <c r="A20" t="s">
        <v>30</v>
      </c>
      <c r="B20" t="s">
        <v>11</v>
      </c>
      <c r="C20" t="s">
        <v>12</v>
      </c>
      <c r="D20" t="s">
        <v>13</v>
      </c>
      <c r="E20" s="1">
        <v>2010</v>
      </c>
      <c r="F20" s="1">
        <v>50.6</v>
      </c>
      <c r="G20" s="1">
        <v>58.582999999999998</v>
      </c>
      <c r="H20" s="1">
        <v>7.9829999999999997</v>
      </c>
      <c r="I20" t="str">
        <f t="shared" si="0"/>
        <v>16.2, 0.1, 0, 0.1, 34.2, 7.983</v>
      </c>
      <c r="J20" t="str">
        <f t="shared" si="1"/>
        <v>last</v>
      </c>
    </row>
    <row r="21" spans="1:10">
      <c r="A21" t="s">
        <v>31</v>
      </c>
      <c r="B21" t="s">
        <v>25</v>
      </c>
      <c r="C21" t="s">
        <v>12</v>
      </c>
      <c r="D21" t="s">
        <v>13</v>
      </c>
      <c r="E21" s="1">
        <v>2012</v>
      </c>
      <c r="F21" s="1">
        <v>30.5</v>
      </c>
      <c r="G21" s="1">
        <v>35.5</v>
      </c>
      <c r="H21" s="1">
        <v>5</v>
      </c>
      <c r="I21" t="str">
        <f t="shared" si="0"/>
        <v>30.5, 5</v>
      </c>
      <c r="J21" t="str">
        <f t="shared" si="1"/>
        <v/>
      </c>
    </row>
    <row r="22" spans="1:10">
      <c r="A22" t="s">
        <v>31</v>
      </c>
      <c r="B22" t="s">
        <v>11</v>
      </c>
      <c r="C22" t="s">
        <v>12</v>
      </c>
      <c r="D22" t="s">
        <v>13</v>
      </c>
      <c r="E22" s="1">
        <v>2012</v>
      </c>
      <c r="F22" s="1">
        <v>30.5</v>
      </c>
      <c r="G22" s="1">
        <v>50.6</v>
      </c>
      <c r="H22" s="1">
        <v>20.100000000000001</v>
      </c>
      <c r="I22" t="str">
        <f t="shared" si="0"/>
        <v>30.5, 5, 0, 15.1</v>
      </c>
      <c r="J22" t="str">
        <f t="shared" si="1"/>
        <v>last</v>
      </c>
    </row>
    <row r="23" spans="1:10">
      <c r="E23" s="1"/>
      <c r="F23" s="1"/>
      <c r="G23" s="1"/>
      <c r="H23" s="1"/>
      <c r="I23" t="str">
        <f t="shared" si="0"/>
        <v xml:space="preserve">, </v>
      </c>
      <c r="J23" t="str">
        <f t="shared" si="1"/>
        <v/>
      </c>
    </row>
    <row r="24" spans="1:10">
      <c r="E24" s="1"/>
      <c r="F24" s="1"/>
      <c r="G24" s="1"/>
      <c r="H24" s="1"/>
      <c r="I24" t="str">
        <f t="shared" si="0"/>
        <v xml:space="preserve">, , 0, </v>
      </c>
      <c r="J24" t="str">
        <f t="shared" si="1"/>
        <v/>
      </c>
    </row>
    <row r="25" spans="1:10">
      <c r="E25" s="1"/>
      <c r="F25" s="1"/>
      <c r="G25" s="1"/>
      <c r="H25" s="1"/>
      <c r="I25" t="str">
        <f t="shared" si="0"/>
        <v xml:space="preserve">, , 0, , 0, </v>
      </c>
      <c r="J25" t="str">
        <f t="shared" si="1"/>
        <v/>
      </c>
    </row>
    <row r="26" spans="1:10">
      <c r="E26" s="1"/>
      <c r="F26" s="1"/>
      <c r="G26" s="1"/>
      <c r="H26" s="1"/>
      <c r="I26" t="str">
        <f t="shared" si="0"/>
        <v xml:space="preserve">, , 0, , 0, , 0, </v>
      </c>
      <c r="J26" t="str">
        <f t="shared" si="1"/>
        <v/>
      </c>
    </row>
    <row r="27" spans="1:10">
      <c r="E27" s="1"/>
      <c r="F27" s="1"/>
      <c r="G27" s="1"/>
      <c r="H27" s="1"/>
      <c r="I27" t="str">
        <f t="shared" si="0"/>
        <v xml:space="preserve">, , 0, , 0, , 0, , 0, </v>
      </c>
      <c r="J27" t="str">
        <f t="shared" si="1"/>
        <v/>
      </c>
    </row>
    <row r="28" spans="1:10">
      <c r="E28" s="1"/>
      <c r="F28" s="1"/>
      <c r="G28" s="1"/>
      <c r="H28" s="1"/>
      <c r="I28" t="str">
        <f t="shared" si="0"/>
        <v xml:space="preserve">, , 0, , 0, , 0, , 0, , 0, </v>
      </c>
      <c r="J28" t="str">
        <f t="shared" si="1"/>
        <v/>
      </c>
    </row>
    <row r="29" spans="1:10">
      <c r="E29" s="1"/>
      <c r="F29" s="1"/>
      <c r="G29" s="1"/>
      <c r="H29" s="1"/>
      <c r="I29" t="str">
        <f t="shared" si="0"/>
        <v xml:space="preserve">, , 0, , 0, , 0, , 0, , 0, , 0, </v>
      </c>
      <c r="J29" t="str">
        <f t="shared" si="1"/>
        <v/>
      </c>
    </row>
    <row r="30" spans="1:10">
      <c r="E30" s="1"/>
      <c r="F30" s="1"/>
      <c r="G30" s="1"/>
      <c r="H30" s="1"/>
      <c r="I30" t="str">
        <f t="shared" si="0"/>
        <v xml:space="preserve">, , 0, , 0, , 0, , 0, , 0, , 0, , 0, </v>
      </c>
      <c r="J30" t="str">
        <f t="shared" si="1"/>
        <v/>
      </c>
    </row>
    <row r="31" spans="1:10">
      <c r="E31" s="1"/>
      <c r="F31" s="1"/>
      <c r="G31" s="1"/>
      <c r="H31" s="1"/>
      <c r="I31" t="str">
        <f t="shared" si="0"/>
        <v xml:space="preserve">, , 0, , 0, , 0, , 0, , 0, , 0, , 0, , 0, </v>
      </c>
      <c r="J31" t="str">
        <f t="shared" si="1"/>
        <v/>
      </c>
    </row>
    <row r="32" spans="1:10">
      <c r="E32" s="1"/>
      <c r="F32" s="1"/>
      <c r="G32" s="1"/>
      <c r="H32" s="1"/>
      <c r="I32" t="str">
        <f t="shared" si="0"/>
        <v xml:space="preserve">, , 0, , 0, , 0, , 0, , 0, , 0, , 0, , 0, , 0, </v>
      </c>
      <c r="J32" t="str">
        <f t="shared" si="1"/>
        <v/>
      </c>
    </row>
    <row r="33" spans="5:10">
      <c r="E33" s="1"/>
      <c r="F33" s="1"/>
      <c r="G33" s="1"/>
      <c r="H33" s="1"/>
      <c r="I33" t="str">
        <f t="shared" si="0"/>
        <v xml:space="preserve">, , 0, , 0, , 0, , 0, , 0, , 0, , 0, , 0, , 0, , 0, </v>
      </c>
      <c r="J33" t="str">
        <f t="shared" si="1"/>
        <v/>
      </c>
    </row>
    <row r="34" spans="5:10">
      <c r="E34" s="1"/>
      <c r="F34" s="1"/>
      <c r="G34" s="1"/>
      <c r="H34" s="1"/>
      <c r="I34" t="str">
        <f t="shared" si="0"/>
        <v xml:space="preserve">, , 0, , 0, , 0, , 0, , 0, , 0, , 0, , 0, , 0, , 0, , 0, </v>
      </c>
      <c r="J34" t="str">
        <f t="shared" si="1"/>
        <v/>
      </c>
    </row>
    <row r="35" spans="5:10">
      <c r="E35" s="1"/>
      <c r="F35" s="1"/>
      <c r="G35" s="1"/>
      <c r="H35" s="1"/>
      <c r="I35" t="str">
        <f t="shared" si="0"/>
        <v xml:space="preserve">, , 0, , 0, , 0, , 0, , 0, , 0, , 0, , 0, , 0, , 0, , 0, , 0, </v>
      </c>
      <c r="J35" t="str">
        <f t="shared" si="1"/>
        <v/>
      </c>
    </row>
    <row r="36" spans="5:10">
      <c r="E36" s="1"/>
      <c r="F36" s="1"/>
      <c r="G36" s="1"/>
      <c r="H36" s="1"/>
      <c r="I36" t="str">
        <f t="shared" si="0"/>
        <v xml:space="preserve">, , 0, , 0, , 0, , 0, , 0, , 0, , 0, , 0, , 0, , 0, , 0, , 0, , 0, </v>
      </c>
      <c r="J36" t="str">
        <f t="shared" si="1"/>
        <v/>
      </c>
    </row>
    <row r="37" spans="5:10">
      <c r="E37" s="1"/>
      <c r="F37" s="1"/>
      <c r="G37" s="1"/>
      <c r="H37" s="1"/>
      <c r="I37" t="str">
        <f t="shared" si="0"/>
        <v xml:space="preserve">, , 0, , 0, , 0, , 0, , 0, , 0, , 0, , 0, , 0, , 0, , 0, , 0, , 0, , 0, </v>
      </c>
      <c r="J37" t="str">
        <f t="shared" si="1"/>
        <v/>
      </c>
    </row>
    <row r="38" spans="5:10">
      <c r="E38" s="1"/>
      <c r="F38" s="1"/>
      <c r="G38" s="1"/>
      <c r="H38" s="1"/>
      <c r="I38" t="str">
        <f t="shared" si="0"/>
        <v xml:space="preserve">, , 0, , 0, , 0, , 0, , 0, , 0, , 0, , 0, , 0, , 0, , 0, , 0, , 0, , 0, , 0, </v>
      </c>
      <c r="J38" t="str">
        <f t="shared" si="1"/>
        <v/>
      </c>
    </row>
    <row r="39" spans="5:10">
      <c r="E39" s="1"/>
      <c r="F39" s="1"/>
      <c r="G39" s="1"/>
      <c r="H39" s="1"/>
      <c r="I39" t="str">
        <f t="shared" si="0"/>
        <v xml:space="preserve">, , 0, , 0, , 0, , 0, , 0, , 0, , 0, , 0, , 0, , 0, , 0, , 0, , 0, , 0, , 0, , 0, </v>
      </c>
      <c r="J39" t="str">
        <f t="shared" si="1"/>
        <v/>
      </c>
    </row>
    <row r="40" spans="5:10">
      <c r="E40" s="1"/>
      <c r="F40" s="1"/>
      <c r="G40" s="1"/>
      <c r="H40" s="1"/>
      <c r="I40" t="str">
        <f t="shared" si="0"/>
        <v xml:space="preserve">, , 0, , 0, , 0, , 0, , 0, , 0, , 0, , 0, , 0, , 0, , 0, , 0, , 0, , 0, , 0, , 0, , 0, </v>
      </c>
      <c r="J40" t="str">
        <f t="shared" si="1"/>
        <v/>
      </c>
    </row>
    <row r="41" spans="5:10">
      <c r="E41" s="1"/>
      <c r="F41" s="1"/>
      <c r="G41" s="1"/>
      <c r="H41" s="1"/>
      <c r="I41" t="str">
        <f t="shared" si="0"/>
        <v xml:space="preserve">, , 0, , 0, , 0, , 0, , 0, , 0, , 0, , 0, , 0, , 0, , 0, , 0, , 0, , 0, , 0, , 0, , 0, , 0, </v>
      </c>
      <c r="J41" t="str">
        <f t="shared" si="1"/>
        <v/>
      </c>
    </row>
    <row r="42" spans="5:10">
      <c r="E42" s="1"/>
      <c r="F42" s="1"/>
      <c r="G42" s="1"/>
      <c r="H42" s="1"/>
      <c r="I42" t="str">
        <f t="shared" si="0"/>
        <v xml:space="preserve">, , 0, , 0, , 0, , 0, , 0, , 0, , 0, , 0, , 0, , 0, , 0, , 0, , 0, , 0, , 0, , 0, , 0, , 0, , 0, </v>
      </c>
      <c r="J42" t="str">
        <f t="shared" si="1"/>
        <v/>
      </c>
    </row>
    <row r="43" spans="5:10">
      <c r="E43" s="1"/>
      <c r="F43" s="1"/>
      <c r="G43" s="1"/>
      <c r="H43" s="1"/>
      <c r="I43" t="str">
        <f t="shared" si="0"/>
        <v xml:space="preserve">, , 0, , 0, , 0, , 0, , 0, , 0, , 0, , 0, , 0, , 0, , 0, , 0, , 0, , 0, , 0, , 0, , 0, , 0, , 0, , 0, </v>
      </c>
      <c r="J43" t="str">
        <f t="shared" si="1"/>
        <v/>
      </c>
    </row>
    <row r="44" spans="5:10">
      <c r="E44" s="1"/>
      <c r="F44" s="1"/>
      <c r="G44" s="1"/>
      <c r="H44" s="1"/>
      <c r="I44" t="str">
        <f t="shared" si="0"/>
        <v xml:space="preserve">, , 0, , 0, , 0, , 0, , 0, , 0, , 0, , 0, , 0, , 0, , 0, , 0, , 0, , 0, , 0, , 0, , 0, , 0, , 0, , 0, , 0, </v>
      </c>
      <c r="J44" t="str">
        <f t="shared" si="1"/>
        <v/>
      </c>
    </row>
    <row r="45" spans="5:10">
      <c r="E45" s="1"/>
      <c r="F45" s="1"/>
      <c r="G45" s="1"/>
      <c r="H45" s="1"/>
      <c r="I45" t="str">
        <f t="shared" si="0"/>
        <v xml:space="preserve">, , 0, , 0, , 0, , 0, , 0, , 0, , 0, , 0, , 0, , 0, , 0, , 0, , 0, , 0, , 0, , 0, , 0, , 0, , 0, , 0, , 0, , 0, </v>
      </c>
      <c r="J45" t="str">
        <f t="shared" si="1"/>
        <v/>
      </c>
    </row>
    <row r="46" spans="5:10">
      <c r="E46" s="1"/>
      <c r="F46" s="1"/>
      <c r="G46" s="1"/>
      <c r="H46" s="1"/>
      <c r="I46" t="str">
        <f t="shared" si="0"/>
        <v xml:space="preserve">, , 0, , 0, , 0, , 0, , 0, , 0, , 0, , 0, , 0, , 0, , 0, , 0, , 0, , 0, , 0, , 0, , 0, , 0, , 0, , 0, , 0, , 0, , 0, </v>
      </c>
      <c r="J46" t="str">
        <f t="shared" si="1"/>
        <v/>
      </c>
    </row>
    <row r="47" spans="5:10">
      <c r="E47" s="1"/>
      <c r="F47" s="1"/>
      <c r="G47" s="1"/>
      <c r="H47" s="1"/>
      <c r="I47" t="str">
        <f t="shared" si="0"/>
        <v xml:space="preserve">, , 0, , 0, , 0, , 0, , 0, , 0, , 0, , 0, , 0, , 0, , 0, , 0, , 0, , 0, , 0, , 0, , 0, , 0, , 0, , 0, , 0, , 0, , 0, , 0, </v>
      </c>
      <c r="J47" t="str">
        <f t="shared" si="1"/>
        <v/>
      </c>
    </row>
    <row r="48" spans="5:10">
      <c r="E48" s="1"/>
      <c r="F48" s="1"/>
      <c r="G48" s="1"/>
      <c r="H48" s="1"/>
      <c r="I48" t="str">
        <f t="shared" si="0"/>
        <v xml:space="preserve">, , 0, , 0, , 0, , 0, , 0, , 0, , 0, , 0, , 0, , 0, , 0, , 0, , 0, , 0, , 0, , 0, , 0, , 0, , 0, , 0, , 0, , 0, , 0, , 0, , 0, </v>
      </c>
      <c r="J48" t="str">
        <f t="shared" si="1"/>
        <v/>
      </c>
    </row>
    <row r="49" spans="5:10">
      <c r="E49" s="1"/>
      <c r="F49" s="1"/>
      <c r="G49" s="1"/>
      <c r="H49" s="1"/>
      <c r="I49" t="str">
        <f t="shared" si="0"/>
        <v xml:space="preserve">, , 0, , 0, , 0, , 0, , 0, , 0, , 0, , 0, , 0, , 0, , 0, , 0, , 0, , 0, , 0, , 0, , 0, , 0, , 0, , 0, , 0, , 0, , 0, , 0, , 0, , 0, </v>
      </c>
      <c r="J49" t="str">
        <f t="shared" si="1"/>
        <v/>
      </c>
    </row>
    <row r="50" spans="5:10">
      <c r="E50" s="1"/>
      <c r="F50" s="1"/>
      <c r="G50" s="1"/>
      <c r="H50" s="1"/>
      <c r="I50" t="str">
        <f t="shared" si="0"/>
        <v xml:space="preserve">, , 0, , 0, , 0, , 0, , 0, , 0, , 0, , 0, , 0, , 0, , 0, , 0, , 0, , 0, , 0, , 0, , 0, , 0, , 0, , 0, , 0, , 0, , 0, , 0, , 0, , 0, , 0, </v>
      </c>
      <c r="J50" t="str">
        <f t="shared" si="1"/>
        <v/>
      </c>
    </row>
    <row r="51" spans="5:10">
      <c r="E51" s="1"/>
      <c r="F51" s="1"/>
      <c r="G51" s="1"/>
      <c r="H51" s="1"/>
      <c r="I51" t="str">
        <f t="shared" si="0"/>
        <v xml:space="preserve">, , 0, , 0, , 0, , 0, , 0, , 0, , 0, , 0, , 0, , 0, , 0, , 0, , 0, , 0, , 0, , 0, , 0, , 0, , 0, , 0, , 0, , 0, , 0, , 0, , 0, , 0, , 0, , 0, </v>
      </c>
      <c r="J51" t="str">
        <f t="shared" si="1"/>
        <v/>
      </c>
    </row>
    <row r="52" spans="5:10">
      <c r="E52" s="1"/>
      <c r="F52" s="1"/>
      <c r="G52" s="1"/>
      <c r="H52" s="1"/>
      <c r="I52" t="str">
        <f t="shared" si="0"/>
        <v xml:space="preserve">, , 0, , 0, , 0, , 0, , 0, , 0, , 0, , 0, , 0, , 0, , 0, , 0, , 0, , 0, , 0, , 0, , 0, , 0, , 0, , 0, , 0, , 0, , 0, , 0, , 0, , 0, , 0, , 0, , 0, </v>
      </c>
      <c r="J52" t="str">
        <f t="shared" si="1"/>
        <v/>
      </c>
    </row>
    <row r="53" spans="5:10">
      <c r="E53" s="1"/>
      <c r="F53" s="1"/>
      <c r="G53" s="1"/>
      <c r="H53" s="1"/>
      <c r="I53" t="str">
        <f t="shared" si="0"/>
        <v xml:space="preserve">, , 0, , 0, , 0, , 0, , 0, , 0, , 0, , 0, , 0, , 0, , 0, , 0, , 0, , 0, , 0, , 0, , 0, , 0, , 0, , 0, , 0, , 0, , 0, , 0, , 0, , 0, , 0, , 0, , 0, , 0, </v>
      </c>
      <c r="J53" t="str">
        <f t="shared" si="1"/>
        <v/>
      </c>
    </row>
    <row r="54" spans="5:10">
      <c r="E54" s="1"/>
      <c r="F54" s="1"/>
      <c r="G54" s="1"/>
      <c r="H54" s="1"/>
      <c r="I54" t="str">
        <f t="shared" si="0"/>
        <v xml:space="preserve">, , 0, , 0, , 0, , 0, , 0, , 0, , 0, , 0, , 0, , 0, , 0, , 0, , 0, , 0, , 0, , 0, , 0, , 0, , 0, , 0, , 0, , 0, , 0, , 0, , 0, , 0, , 0, , 0, , 0, , 0, , 0, </v>
      </c>
      <c r="J54" t="str">
        <f t="shared" si="1"/>
        <v/>
      </c>
    </row>
    <row r="55" spans="5:10">
      <c r="E55" s="1"/>
      <c r="F55" s="1"/>
      <c r="G55" s="1"/>
      <c r="H55" s="1"/>
      <c r="I55" t="str">
        <f t="shared" si="0"/>
        <v xml:space="preserve">, , 0, , 0, , 0, , 0, , 0, , 0, , 0, , 0, , 0, , 0, , 0, , 0, , 0, , 0, , 0, , 0, , 0, , 0, , 0, , 0, , 0, , 0, , 0, , 0, , 0, , 0, , 0, , 0, , 0, , 0, , 0, , 0, </v>
      </c>
      <c r="J55" t="str">
        <f t="shared" si="1"/>
        <v/>
      </c>
    </row>
    <row r="56" spans="5:10">
      <c r="E56" s="1"/>
      <c r="F56" s="1"/>
      <c r="G56" s="1"/>
      <c r="H56" s="1"/>
      <c r="I56" t="str">
        <f t="shared" si="0"/>
        <v xml:space="preserve">, , 0, , 0, , 0, , 0, , 0, , 0, , 0, , 0, , 0, , 0, , 0, , 0, , 0, , 0, , 0, , 0, , 0, , 0, , 0, , 0, , 0, , 0, , 0, , 0, , 0, , 0, , 0, , 0, , 0, , 0, , 0, , 0, , 0, </v>
      </c>
      <c r="J56" t="str">
        <f t="shared" si="1"/>
        <v/>
      </c>
    </row>
    <row r="57" spans="5:10">
      <c r="E57" s="1"/>
      <c r="F57" s="1"/>
      <c r="G57" s="1"/>
      <c r="H57" s="1"/>
      <c r="I57" t="str">
        <f t="shared" si="0"/>
        <v xml:space="preserve">, , 0, , 0, , 0, , 0, , 0, , 0, , 0, , 0, , 0, , 0, , 0, , 0, , 0, , 0, , 0, , 0, , 0, , 0, , 0, , 0, , 0, , 0, , 0, , 0, , 0, , 0, , 0, , 0, , 0, , 0, , 0, , 0, , 0, , 0, </v>
      </c>
      <c r="J57" t="str">
        <f t="shared" si="1"/>
        <v/>
      </c>
    </row>
    <row r="58" spans="5:10">
      <c r="E58" s="1"/>
      <c r="F58" s="1"/>
      <c r="G58" s="1"/>
      <c r="H58" s="1"/>
      <c r="I58" t="str">
        <f t="shared" si="0"/>
        <v xml:space="preserve">, , 0, , 0, , 0, , 0, , 0, , 0, , 0, , 0, , 0, , 0, , 0, , 0, , 0, , 0, , 0, , 0, , 0, , 0, , 0, , 0, , 0, , 0, , 0, , 0, , 0, , 0, , 0, , 0, , 0, , 0, , 0, , 0, , 0, , 0, , 0, </v>
      </c>
      <c r="J58" t="str">
        <f t="shared" si="1"/>
        <v/>
      </c>
    </row>
    <row r="59" spans="5:10">
      <c r="E59" s="1"/>
      <c r="F59" s="1"/>
      <c r="G59" s="1"/>
      <c r="H59" s="1"/>
      <c r="I59" t="str">
        <f t="shared" si="0"/>
        <v xml:space="preserve">, , 0, , 0, , 0, , 0, , 0, , 0, , 0, , 0, , 0, , 0, , 0, , 0, , 0, , 0, , 0, , 0, , 0, , 0, , 0, , 0, , 0, , 0, , 0, , 0, , 0, , 0, , 0, , 0, , 0, , 0, , 0, , 0, , 0, , 0, , 0, , 0, </v>
      </c>
      <c r="J59" t="str">
        <f t="shared" si="1"/>
        <v/>
      </c>
    </row>
    <row r="60" spans="5:10">
      <c r="E60" s="1"/>
      <c r="F60" s="1"/>
      <c r="G60" s="1"/>
      <c r="H60" s="1"/>
      <c r="I60" t="str">
        <f t="shared" si="0"/>
        <v xml:space="preserve">, , 0, , 0, , 0, , 0, , 0, , 0, , 0, , 0, , 0, , 0, , 0, , 0, , 0, , 0, , 0, , 0, , 0, , 0, , 0, , 0, , 0, , 0, , 0, , 0, , 0, , 0, , 0, , 0, , 0, , 0, , 0, , 0, , 0, , 0, , 0, , 0, , 0, </v>
      </c>
      <c r="J60" t="str">
        <f t="shared" si="1"/>
        <v/>
      </c>
    </row>
    <row r="61" spans="5:10">
      <c r="E61" s="1"/>
      <c r="F61" s="1"/>
      <c r="G61" s="1"/>
      <c r="H61" s="1"/>
      <c r="I61" t="str">
        <f t="shared" si="0"/>
        <v xml:space="preserve">, , 0, , 0, , 0, , 0, , 0, , 0, , 0, , 0, , 0, , 0, , 0, , 0, , 0, , 0, , 0, , 0, , 0, , 0, , 0, , 0, , 0, , 0, , 0, , 0, , 0, , 0, , 0, , 0, , 0, , 0, , 0, , 0, , 0, , 0, , 0, , 0, , 0, , 0, </v>
      </c>
      <c r="J61" t="str">
        <f t="shared" si="1"/>
        <v/>
      </c>
    </row>
    <row r="62" spans="5:10">
      <c r="E62" s="1"/>
      <c r="F62" s="1"/>
      <c r="G62" s="1"/>
      <c r="H62" s="1"/>
      <c r="I62" t="str">
        <f t="shared" si="0"/>
        <v xml:space="preserve">, , 0, , 0, , 0, , 0, , 0, , 0, , 0, , 0, , 0, , 0, , 0, , 0, , 0, , 0, , 0, , 0, , 0, , 0, , 0, , 0, , 0, , 0, , 0, , 0, , 0, , 0, , 0, , 0, , 0, , 0, , 0, , 0, , 0, , 0, , 0, , 0, , 0, , 0, , 0, </v>
      </c>
      <c r="J62" t="str">
        <f t="shared" si="1"/>
        <v/>
      </c>
    </row>
    <row r="63" spans="5:10">
      <c r="E63" s="1"/>
      <c r="F63" s="1"/>
      <c r="G63" s="1"/>
      <c r="H63" s="1"/>
      <c r="I63" t="str">
        <f t="shared" si="0"/>
        <v xml:space="preserve">, , 0, , 0, , 0, , 0, , 0, , 0, , 0, , 0, , 0, , 0, , 0, , 0, , 0, , 0, , 0, , 0, , 0, , 0, , 0, , 0, , 0, , 0, , 0, , 0, , 0, , 0, , 0, , 0, , 0, , 0, , 0, , 0, , 0, , 0, , 0, , 0, , 0, , 0, , 0, , 0, </v>
      </c>
      <c r="J63" t="str">
        <f t="shared" si="1"/>
        <v/>
      </c>
    </row>
    <row r="64" spans="5:10">
      <c r="E64" s="1"/>
      <c r="F64" s="1"/>
      <c r="G64" s="1"/>
      <c r="H64" s="1"/>
      <c r="I64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</v>
      </c>
      <c r="J64" t="str">
        <f t="shared" si="1"/>
        <v/>
      </c>
    </row>
    <row r="65" spans="5:10">
      <c r="E65" s="1"/>
      <c r="F65" s="1"/>
      <c r="G65" s="1"/>
      <c r="H65" s="1"/>
      <c r="I65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</v>
      </c>
      <c r="J65" t="str">
        <f t="shared" si="1"/>
        <v/>
      </c>
    </row>
    <row r="66" spans="5:10">
      <c r="E66" s="1"/>
      <c r="F66" s="1"/>
      <c r="G66" s="1"/>
      <c r="H66" s="1"/>
      <c r="I66" t="str">
        <f t="shared" ref="I66:I129" si="2">IF(E65=E66, I65&amp;", "&amp;IF((F66-G65)&lt;0, 0, (F66-G65))&amp;", "&amp;IF((F66-G65)&lt;0, H66+(F66-G65), H66), F66&amp;", "&amp;H66)</f>
        <v xml:space="preserve">, , 0, , 0, , 0, , 0, , 0, , 0, , 0, , 0, , 0, , 0, , 0, , 0, , 0, , 0, , 0, , 0, , 0, , 0, , 0, , 0, , 0, , 0, , 0, , 0, , 0, , 0, , 0, , 0, , 0, , 0, , 0, , 0, , 0, , 0, , 0, , 0, , 0, , 0, , 0, , 0, , 0, , 0, , 0, </v>
      </c>
      <c r="J66" t="str">
        <f t="shared" ref="J66:J129" si="3">IF(E67&lt;&gt;E66,"last", "")</f>
        <v/>
      </c>
    </row>
    <row r="67" spans="5:10">
      <c r="E67" s="1"/>
      <c r="F67" s="1"/>
      <c r="G67" s="1"/>
      <c r="H67" s="1"/>
      <c r="I6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</v>
      </c>
      <c r="J67" t="str">
        <f t="shared" si="3"/>
        <v/>
      </c>
    </row>
    <row r="68" spans="5:10">
      <c r="E68" s="1"/>
      <c r="F68" s="1"/>
      <c r="G68" s="1"/>
      <c r="H68" s="1"/>
      <c r="I6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</v>
      </c>
      <c r="J68" t="str">
        <f t="shared" si="3"/>
        <v/>
      </c>
    </row>
    <row r="69" spans="5:10">
      <c r="E69" s="1"/>
      <c r="F69" s="1"/>
      <c r="G69" s="1"/>
      <c r="H69" s="1"/>
      <c r="I6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</v>
      </c>
      <c r="J69" t="str">
        <f t="shared" si="3"/>
        <v/>
      </c>
    </row>
    <row r="70" spans="5:10">
      <c r="E70" s="1"/>
      <c r="F70" s="1"/>
      <c r="G70" s="1"/>
      <c r="H70" s="1"/>
      <c r="I7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</v>
      </c>
      <c r="J70" t="str">
        <f t="shared" si="3"/>
        <v/>
      </c>
    </row>
    <row r="71" spans="5:10">
      <c r="E71" s="1"/>
      <c r="F71" s="1"/>
      <c r="G71" s="1"/>
      <c r="H71" s="1"/>
      <c r="I7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</v>
      </c>
      <c r="J71" t="str">
        <f t="shared" si="3"/>
        <v/>
      </c>
    </row>
    <row r="72" spans="5:10">
      <c r="E72" s="1"/>
      <c r="F72" s="1"/>
      <c r="G72" s="1"/>
      <c r="H72" s="1"/>
      <c r="I7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</v>
      </c>
      <c r="J72" t="str">
        <f t="shared" si="3"/>
        <v/>
      </c>
    </row>
    <row r="73" spans="5:10">
      <c r="E73" s="1"/>
      <c r="F73" s="1"/>
      <c r="G73" s="1"/>
      <c r="H73" s="1"/>
      <c r="I7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3" t="str">
        <f t="shared" si="3"/>
        <v/>
      </c>
    </row>
    <row r="74" spans="5:10">
      <c r="E74" s="1"/>
      <c r="F74" s="1"/>
      <c r="G74" s="1"/>
      <c r="H74" s="1"/>
      <c r="I7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4" t="str">
        <f t="shared" si="3"/>
        <v/>
      </c>
    </row>
    <row r="75" spans="5:10">
      <c r="E75" s="1"/>
      <c r="F75" s="1"/>
      <c r="G75" s="1"/>
      <c r="H75" s="1"/>
      <c r="I7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5" t="str">
        <f t="shared" si="3"/>
        <v/>
      </c>
    </row>
    <row r="76" spans="5:10">
      <c r="E76" s="1"/>
      <c r="F76" s="1"/>
      <c r="G76" s="1"/>
      <c r="H76" s="1"/>
      <c r="I7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6" t="str">
        <f t="shared" si="3"/>
        <v/>
      </c>
    </row>
    <row r="77" spans="5:10">
      <c r="I7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7" t="str">
        <f t="shared" si="3"/>
        <v/>
      </c>
    </row>
    <row r="78" spans="5:10">
      <c r="I7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8" t="str">
        <f t="shared" si="3"/>
        <v/>
      </c>
    </row>
    <row r="79" spans="5:10">
      <c r="I7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9" t="str">
        <f t="shared" si="3"/>
        <v/>
      </c>
    </row>
    <row r="80" spans="5:10">
      <c r="I8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0" t="str">
        <f t="shared" si="3"/>
        <v/>
      </c>
    </row>
    <row r="81" spans="9:10">
      <c r="I8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1" t="str">
        <f t="shared" si="3"/>
        <v/>
      </c>
    </row>
    <row r="82" spans="9:10">
      <c r="I8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2" t="str">
        <f t="shared" si="3"/>
        <v/>
      </c>
    </row>
    <row r="83" spans="9:10">
      <c r="I8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3" t="str">
        <f t="shared" si="3"/>
        <v/>
      </c>
    </row>
    <row r="84" spans="9:10">
      <c r="I8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4" t="str">
        <f t="shared" si="3"/>
        <v/>
      </c>
    </row>
    <row r="85" spans="9:10">
      <c r="I8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5" t="str">
        <f t="shared" si="3"/>
        <v/>
      </c>
    </row>
    <row r="86" spans="9:10">
      <c r="I8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6" t="str">
        <f t="shared" si="3"/>
        <v/>
      </c>
    </row>
    <row r="87" spans="9:10">
      <c r="I8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7" t="str">
        <f t="shared" si="3"/>
        <v/>
      </c>
    </row>
    <row r="88" spans="9:10">
      <c r="I8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8" t="str">
        <f t="shared" si="3"/>
        <v/>
      </c>
    </row>
    <row r="89" spans="9:10">
      <c r="I8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9" t="str">
        <f t="shared" si="3"/>
        <v/>
      </c>
    </row>
    <row r="90" spans="9:10">
      <c r="I9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0" t="str">
        <f t="shared" si="3"/>
        <v/>
      </c>
    </row>
    <row r="91" spans="9:10">
      <c r="I9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1" t="str">
        <f t="shared" si="3"/>
        <v/>
      </c>
    </row>
    <row r="92" spans="9:10">
      <c r="I9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2" t="str">
        <f t="shared" si="3"/>
        <v/>
      </c>
    </row>
    <row r="93" spans="9:10">
      <c r="I9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3" t="str">
        <f t="shared" si="3"/>
        <v/>
      </c>
    </row>
    <row r="94" spans="9:10">
      <c r="I9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4" t="str">
        <f t="shared" si="3"/>
        <v/>
      </c>
    </row>
    <row r="95" spans="9:10">
      <c r="I9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5" t="str">
        <f t="shared" si="3"/>
        <v/>
      </c>
    </row>
    <row r="96" spans="9:10">
      <c r="I9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6" t="str">
        <f t="shared" si="3"/>
        <v/>
      </c>
    </row>
    <row r="97" spans="9:10">
      <c r="I9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7" t="str">
        <f t="shared" si="3"/>
        <v/>
      </c>
    </row>
    <row r="98" spans="9:10">
      <c r="I9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8" t="str">
        <f t="shared" si="3"/>
        <v/>
      </c>
    </row>
    <row r="99" spans="9:10">
      <c r="I9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9" t="str">
        <f t="shared" si="3"/>
        <v/>
      </c>
    </row>
    <row r="100" spans="9:10">
      <c r="I10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0" t="str">
        <f t="shared" si="3"/>
        <v/>
      </c>
    </row>
    <row r="101" spans="9:10">
      <c r="I10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1" t="str">
        <f t="shared" si="3"/>
        <v/>
      </c>
    </row>
    <row r="102" spans="9:10">
      <c r="I10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2" t="str">
        <f t="shared" si="3"/>
        <v/>
      </c>
    </row>
    <row r="103" spans="9:10">
      <c r="I10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3" t="str">
        <f t="shared" si="3"/>
        <v/>
      </c>
    </row>
    <row r="104" spans="9:10">
      <c r="I10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4" t="str">
        <f t="shared" si="3"/>
        <v/>
      </c>
    </row>
    <row r="105" spans="9:10">
      <c r="I10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5" t="str">
        <f t="shared" si="3"/>
        <v/>
      </c>
    </row>
    <row r="106" spans="9:10">
      <c r="I10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6" t="str">
        <f t="shared" si="3"/>
        <v/>
      </c>
    </row>
    <row r="107" spans="9:10">
      <c r="I10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7" t="str">
        <f t="shared" si="3"/>
        <v/>
      </c>
    </row>
    <row r="108" spans="9:10">
      <c r="I10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8" t="str">
        <f t="shared" si="3"/>
        <v/>
      </c>
    </row>
    <row r="109" spans="9:10">
      <c r="I10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9" t="str">
        <f t="shared" si="3"/>
        <v/>
      </c>
    </row>
    <row r="110" spans="9:10">
      <c r="I11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0" t="str">
        <f t="shared" si="3"/>
        <v/>
      </c>
    </row>
    <row r="111" spans="9:10">
      <c r="I11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1" t="str">
        <f t="shared" si="3"/>
        <v/>
      </c>
    </row>
    <row r="112" spans="9:10">
      <c r="I11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2" t="str">
        <f t="shared" si="3"/>
        <v/>
      </c>
    </row>
    <row r="113" spans="9:10">
      <c r="I11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3" t="str">
        <f t="shared" si="3"/>
        <v/>
      </c>
    </row>
    <row r="114" spans="9:10">
      <c r="I11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4" t="str">
        <f t="shared" si="3"/>
        <v/>
      </c>
    </row>
    <row r="115" spans="9:10">
      <c r="I11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5" t="str">
        <f t="shared" si="3"/>
        <v/>
      </c>
    </row>
    <row r="116" spans="9:10">
      <c r="I11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6" t="str">
        <f t="shared" si="3"/>
        <v/>
      </c>
    </row>
    <row r="117" spans="9:10">
      <c r="I11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7" t="str">
        <f t="shared" si="3"/>
        <v/>
      </c>
    </row>
    <row r="118" spans="9:10">
      <c r="I11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8" t="str">
        <f t="shared" si="3"/>
        <v/>
      </c>
    </row>
    <row r="119" spans="9:10">
      <c r="I11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9" t="str">
        <f t="shared" si="3"/>
        <v/>
      </c>
    </row>
    <row r="120" spans="9:10">
      <c r="I12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0" t="str">
        <f t="shared" si="3"/>
        <v/>
      </c>
    </row>
    <row r="121" spans="9:10">
      <c r="I12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1" t="str">
        <f t="shared" si="3"/>
        <v/>
      </c>
    </row>
    <row r="122" spans="9:10">
      <c r="I12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2" t="str">
        <f t="shared" si="3"/>
        <v/>
      </c>
    </row>
    <row r="123" spans="9:10">
      <c r="I12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3" t="str">
        <f t="shared" si="3"/>
        <v/>
      </c>
    </row>
    <row r="124" spans="9:10">
      <c r="I12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4" t="str">
        <f t="shared" si="3"/>
        <v/>
      </c>
    </row>
    <row r="125" spans="9:10">
      <c r="I12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5" t="str">
        <f t="shared" si="3"/>
        <v/>
      </c>
    </row>
    <row r="126" spans="9:10">
      <c r="I12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6" t="str">
        <f t="shared" si="3"/>
        <v/>
      </c>
    </row>
    <row r="127" spans="9:10">
      <c r="I12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7" t="str">
        <f t="shared" si="3"/>
        <v/>
      </c>
    </row>
    <row r="128" spans="9:10">
      <c r="I12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8" t="str">
        <f t="shared" si="3"/>
        <v/>
      </c>
    </row>
    <row r="129" spans="9:10">
      <c r="I12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9" t="str">
        <f t="shared" si="3"/>
        <v/>
      </c>
    </row>
    <row r="130" spans="9:10">
      <c r="I130" t="str">
        <f t="shared" ref="I130:I188" si="4">IF(E129=E130, I129&amp;", "&amp;IF((F130-G129)&lt;0, 0, (F130-G129))&amp;", "&amp;IF((F130-G129)&lt;0, H130+(F130-G129), H130), F130&amp;", "&amp;H130)</f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0" t="str">
        <f t="shared" ref="J130:J188" si="5">IF(E131&lt;&gt;E130,"last", "")</f>
        <v/>
      </c>
    </row>
    <row r="131" spans="9:10">
      <c r="I13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1" t="str">
        <f t="shared" si="5"/>
        <v/>
      </c>
    </row>
    <row r="132" spans="9:10">
      <c r="I13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2" t="str">
        <f t="shared" si="5"/>
        <v/>
      </c>
    </row>
    <row r="133" spans="9:10">
      <c r="I13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3" t="str">
        <f t="shared" si="5"/>
        <v/>
      </c>
    </row>
    <row r="134" spans="9:10">
      <c r="I13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4" t="str">
        <f t="shared" si="5"/>
        <v/>
      </c>
    </row>
    <row r="135" spans="9:10">
      <c r="I13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5" t="str">
        <f t="shared" si="5"/>
        <v/>
      </c>
    </row>
    <row r="136" spans="9:10">
      <c r="I13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6" t="str">
        <f t="shared" si="5"/>
        <v/>
      </c>
    </row>
    <row r="137" spans="9:10">
      <c r="I13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7" t="str">
        <f t="shared" si="5"/>
        <v/>
      </c>
    </row>
    <row r="138" spans="9:10">
      <c r="I13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8" t="str">
        <f t="shared" si="5"/>
        <v/>
      </c>
    </row>
    <row r="139" spans="9:10">
      <c r="I13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9" t="str">
        <f t="shared" si="5"/>
        <v/>
      </c>
    </row>
    <row r="140" spans="9:10">
      <c r="I14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0" t="str">
        <f t="shared" si="5"/>
        <v/>
      </c>
    </row>
    <row r="141" spans="9:10">
      <c r="I14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1" t="str">
        <f t="shared" si="5"/>
        <v/>
      </c>
    </row>
    <row r="142" spans="9:10">
      <c r="I14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2" t="str">
        <f t="shared" si="5"/>
        <v/>
      </c>
    </row>
    <row r="143" spans="9:10">
      <c r="I14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3" t="str">
        <f t="shared" si="5"/>
        <v/>
      </c>
    </row>
    <row r="144" spans="9:10">
      <c r="I14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4" t="str">
        <f t="shared" si="5"/>
        <v/>
      </c>
    </row>
    <row r="145" spans="9:10">
      <c r="I14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5" t="str">
        <f t="shared" si="5"/>
        <v/>
      </c>
    </row>
    <row r="146" spans="9:10">
      <c r="I14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6" t="str">
        <f t="shared" si="5"/>
        <v/>
      </c>
    </row>
    <row r="147" spans="9:10">
      <c r="I14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7" t="str">
        <f t="shared" si="5"/>
        <v/>
      </c>
    </row>
    <row r="148" spans="9:10">
      <c r="I14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8" t="str">
        <f t="shared" si="5"/>
        <v/>
      </c>
    </row>
    <row r="149" spans="9:10">
      <c r="I14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9" t="str">
        <f t="shared" si="5"/>
        <v/>
      </c>
    </row>
    <row r="150" spans="9:10">
      <c r="I15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0" t="str">
        <f t="shared" si="5"/>
        <v/>
      </c>
    </row>
    <row r="151" spans="9:10">
      <c r="I15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1" t="str">
        <f t="shared" si="5"/>
        <v/>
      </c>
    </row>
    <row r="152" spans="9:10">
      <c r="I15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2" t="str">
        <f t="shared" si="5"/>
        <v/>
      </c>
    </row>
    <row r="153" spans="9:10">
      <c r="I15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3" t="str">
        <f t="shared" si="5"/>
        <v/>
      </c>
    </row>
    <row r="154" spans="9:10">
      <c r="I15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4" t="str">
        <f t="shared" si="5"/>
        <v/>
      </c>
    </row>
    <row r="155" spans="9:10">
      <c r="I15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5" t="str">
        <f t="shared" si="5"/>
        <v/>
      </c>
    </row>
    <row r="156" spans="9:10">
      <c r="I15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6" t="str">
        <f t="shared" si="5"/>
        <v/>
      </c>
    </row>
    <row r="157" spans="9:10">
      <c r="I15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7" t="str">
        <f t="shared" si="5"/>
        <v/>
      </c>
    </row>
    <row r="158" spans="9:10">
      <c r="I15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8" t="str">
        <f t="shared" si="5"/>
        <v/>
      </c>
    </row>
    <row r="159" spans="9:10">
      <c r="I15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9" t="str">
        <f t="shared" si="5"/>
        <v/>
      </c>
    </row>
    <row r="160" spans="9:10">
      <c r="I16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0" t="str">
        <f t="shared" si="5"/>
        <v/>
      </c>
    </row>
    <row r="161" spans="9:10">
      <c r="I16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1" t="str">
        <f t="shared" si="5"/>
        <v/>
      </c>
    </row>
    <row r="162" spans="9:10">
      <c r="I16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2" t="str">
        <f t="shared" si="5"/>
        <v/>
      </c>
    </row>
    <row r="163" spans="9:10">
      <c r="I16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3" t="str">
        <f t="shared" si="5"/>
        <v/>
      </c>
    </row>
    <row r="164" spans="9:10">
      <c r="I16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4" t="str">
        <f t="shared" si="5"/>
        <v/>
      </c>
    </row>
    <row r="165" spans="9:10">
      <c r="I16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5" t="str">
        <f t="shared" si="5"/>
        <v/>
      </c>
    </row>
    <row r="166" spans="9:10">
      <c r="I16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6" t="str">
        <f t="shared" si="5"/>
        <v/>
      </c>
    </row>
    <row r="167" spans="9:10">
      <c r="I16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7" t="str">
        <f t="shared" si="5"/>
        <v/>
      </c>
    </row>
    <row r="168" spans="9:10">
      <c r="I16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8" t="str">
        <f t="shared" si="5"/>
        <v/>
      </c>
    </row>
    <row r="169" spans="9:10">
      <c r="I16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9" t="str">
        <f t="shared" si="5"/>
        <v/>
      </c>
    </row>
    <row r="170" spans="9:10">
      <c r="I17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0" t="str">
        <f t="shared" si="5"/>
        <v/>
      </c>
    </row>
    <row r="171" spans="9:10">
      <c r="I17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1" t="str">
        <f t="shared" si="5"/>
        <v/>
      </c>
    </row>
    <row r="172" spans="9:10">
      <c r="I17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2" t="str">
        <f t="shared" si="5"/>
        <v/>
      </c>
    </row>
    <row r="173" spans="9:10">
      <c r="I17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3" t="str">
        <f t="shared" si="5"/>
        <v/>
      </c>
    </row>
    <row r="174" spans="9:10">
      <c r="I17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4" t="str">
        <f t="shared" si="5"/>
        <v/>
      </c>
    </row>
    <row r="175" spans="9:10">
      <c r="I17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5" t="str">
        <f t="shared" si="5"/>
        <v/>
      </c>
    </row>
    <row r="176" spans="9:10">
      <c r="I17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6" t="str">
        <f t="shared" si="5"/>
        <v/>
      </c>
    </row>
    <row r="177" spans="9:10">
      <c r="I17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7" t="str">
        <f t="shared" si="5"/>
        <v/>
      </c>
    </row>
    <row r="178" spans="9:10">
      <c r="I17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8" t="str">
        <f t="shared" si="5"/>
        <v/>
      </c>
    </row>
    <row r="179" spans="9:10">
      <c r="I17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9" t="str">
        <f t="shared" si="5"/>
        <v/>
      </c>
    </row>
    <row r="180" spans="9:10">
      <c r="I18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0" t="str">
        <f t="shared" si="5"/>
        <v/>
      </c>
    </row>
    <row r="181" spans="9:10">
      <c r="I18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1" t="str">
        <f t="shared" si="5"/>
        <v/>
      </c>
    </row>
    <row r="182" spans="9:10">
      <c r="I18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2" t="str">
        <f t="shared" si="5"/>
        <v/>
      </c>
    </row>
    <row r="183" spans="9:10">
      <c r="I18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3" t="str">
        <f t="shared" si="5"/>
        <v/>
      </c>
    </row>
    <row r="184" spans="9:10">
      <c r="I18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4" t="str">
        <f t="shared" si="5"/>
        <v/>
      </c>
    </row>
    <row r="185" spans="9:10">
      <c r="I18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5" t="str">
        <f t="shared" si="5"/>
        <v/>
      </c>
    </row>
    <row r="186" spans="9:10">
      <c r="I18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6" t="str">
        <f t="shared" si="5"/>
        <v/>
      </c>
    </row>
    <row r="187" spans="9:10">
      <c r="I18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7" t="str">
        <f t="shared" si="5"/>
        <v/>
      </c>
    </row>
    <row r="188" spans="9:10">
      <c r="I18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8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AG31"/>
  <sheetViews>
    <sheetView zoomScaleNormal="100" workbookViewId="0">
      <selection sqref="A1:AH31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6.28515625" bestFit="1" customWidth="1"/>
    <col min="10" max="10" width="7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3.28515625" bestFit="1" customWidth="1"/>
    <col min="17" max="17" width="4" bestFit="1" customWidth="1"/>
    <col min="18" max="18" width="3.28515625" bestFit="1" customWidth="1"/>
    <col min="19" max="33" width="4.28515625" bestFit="1" customWidth="1"/>
  </cols>
  <sheetData>
    <row r="1" spans="1:3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0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</row>
    <row r="2" spans="1:33" hidden="1">
      <c r="A2" t="s">
        <v>10</v>
      </c>
      <c r="B2" t="s">
        <v>11</v>
      </c>
      <c r="C2" t="s">
        <v>12</v>
      </c>
      <c r="D2" t="s">
        <v>13</v>
      </c>
      <c r="E2">
        <v>1992</v>
      </c>
      <c r="F2">
        <v>10</v>
      </c>
      <c r="G2">
        <v>11.07</v>
      </c>
      <c r="H2">
        <v>1.07</v>
      </c>
      <c r="I2" t="s">
        <v>32</v>
      </c>
      <c r="J2">
        <v>10</v>
      </c>
      <c r="K2">
        <v>1.07</v>
      </c>
    </row>
    <row r="3" spans="1:33">
      <c r="A3" t="s">
        <v>14</v>
      </c>
      <c r="B3" t="s">
        <v>11</v>
      </c>
      <c r="C3" t="s">
        <v>12</v>
      </c>
      <c r="D3" t="s">
        <v>13</v>
      </c>
      <c r="E3">
        <v>1992</v>
      </c>
      <c r="F3">
        <v>50.6</v>
      </c>
      <c r="G3">
        <v>58.582999999999998</v>
      </c>
      <c r="H3">
        <v>7.9829999999999997</v>
      </c>
      <c r="I3" t="s">
        <v>33</v>
      </c>
      <c r="J3">
        <v>10</v>
      </c>
      <c r="K3">
        <v>1.07</v>
      </c>
      <c r="L3">
        <v>39.53</v>
      </c>
      <c r="M3">
        <v>7.9829999999999997</v>
      </c>
    </row>
    <row r="4" spans="1:33">
      <c r="A4" t="s">
        <v>15</v>
      </c>
      <c r="B4" t="s">
        <v>11</v>
      </c>
      <c r="C4" t="s">
        <v>12</v>
      </c>
      <c r="D4" t="s">
        <v>13</v>
      </c>
      <c r="E4">
        <v>1993</v>
      </c>
      <c r="F4">
        <v>24.524000000000001</v>
      </c>
      <c r="G4">
        <v>26.3</v>
      </c>
      <c r="H4">
        <v>1.776</v>
      </c>
      <c r="I4" t="s">
        <v>33</v>
      </c>
      <c r="J4">
        <v>24.524000000000001</v>
      </c>
      <c r="K4">
        <v>1.776</v>
      </c>
    </row>
    <row r="5" spans="1:33">
      <c r="A5" t="s">
        <v>16</v>
      </c>
      <c r="B5" t="s">
        <v>17</v>
      </c>
      <c r="C5" t="s">
        <v>12</v>
      </c>
      <c r="D5" t="s">
        <v>13</v>
      </c>
      <c r="E5">
        <v>2000</v>
      </c>
      <c r="F5">
        <v>50.6</v>
      </c>
      <c r="G5">
        <v>58.582999999999998</v>
      </c>
      <c r="H5">
        <v>7.9829999999999997</v>
      </c>
      <c r="I5" t="s">
        <v>33</v>
      </c>
      <c r="J5">
        <v>50.6</v>
      </c>
      <c r="K5">
        <v>7.9829999999999997</v>
      </c>
    </row>
    <row r="6" spans="1:33" hidden="1">
      <c r="A6" t="s">
        <v>18</v>
      </c>
      <c r="B6" t="s">
        <v>19</v>
      </c>
      <c r="C6" t="s">
        <v>12</v>
      </c>
      <c r="D6" t="s">
        <v>13</v>
      </c>
      <c r="E6">
        <v>2001</v>
      </c>
      <c r="F6">
        <v>0</v>
      </c>
      <c r="G6">
        <v>8.1999999999999993</v>
      </c>
      <c r="H6">
        <v>8.1999999999999993</v>
      </c>
      <c r="I6" t="s">
        <v>32</v>
      </c>
      <c r="J6">
        <v>0</v>
      </c>
      <c r="K6">
        <v>8.1999999999999993</v>
      </c>
    </row>
    <row r="7" spans="1:33" hidden="1">
      <c r="A7" t="s">
        <v>20</v>
      </c>
      <c r="B7" t="s">
        <v>11</v>
      </c>
      <c r="C7" t="s">
        <v>12</v>
      </c>
      <c r="D7" t="s">
        <v>13</v>
      </c>
      <c r="E7">
        <v>2001</v>
      </c>
      <c r="F7">
        <v>8.1999999999999993</v>
      </c>
      <c r="G7">
        <v>12.486000000000001</v>
      </c>
      <c r="H7">
        <v>4.2859999999999996</v>
      </c>
      <c r="I7" t="s">
        <v>32</v>
      </c>
      <c r="J7">
        <v>0</v>
      </c>
      <c r="K7">
        <v>8.1999999999999993</v>
      </c>
      <c r="L7">
        <v>0</v>
      </c>
      <c r="M7">
        <v>4.2859999999999996</v>
      </c>
    </row>
    <row r="8" spans="1:33" hidden="1">
      <c r="A8" t="s">
        <v>21</v>
      </c>
      <c r="B8" t="s">
        <v>22</v>
      </c>
      <c r="C8" t="s">
        <v>12</v>
      </c>
      <c r="D8" t="s">
        <v>13</v>
      </c>
      <c r="E8">
        <v>2001</v>
      </c>
      <c r="F8">
        <v>35.5</v>
      </c>
      <c r="G8">
        <v>39.5</v>
      </c>
      <c r="H8">
        <v>4</v>
      </c>
      <c r="I8" t="s">
        <v>32</v>
      </c>
      <c r="J8">
        <v>0</v>
      </c>
      <c r="K8">
        <v>8.1999999999999993</v>
      </c>
      <c r="L8">
        <v>0</v>
      </c>
      <c r="M8">
        <v>4.2859999999999996</v>
      </c>
      <c r="N8">
        <v>23.013999999999999</v>
      </c>
      <c r="O8">
        <v>4</v>
      </c>
    </row>
    <row r="9" spans="1:33" hidden="1">
      <c r="A9" t="s">
        <v>21</v>
      </c>
      <c r="B9" t="s">
        <v>22</v>
      </c>
      <c r="C9" t="s">
        <v>12</v>
      </c>
      <c r="D9" t="s">
        <v>13</v>
      </c>
      <c r="E9">
        <v>2001</v>
      </c>
      <c r="F9">
        <v>39.5</v>
      </c>
      <c r="G9">
        <v>42</v>
      </c>
      <c r="H9">
        <v>2.5</v>
      </c>
      <c r="I9" t="s">
        <v>32</v>
      </c>
      <c r="J9">
        <v>0</v>
      </c>
      <c r="K9">
        <v>8.1999999999999993</v>
      </c>
      <c r="L9">
        <v>0</v>
      </c>
      <c r="M9">
        <v>4.2859999999999996</v>
      </c>
      <c r="N9">
        <v>23.013999999999999</v>
      </c>
      <c r="O9" s="2">
        <v>4</v>
      </c>
      <c r="P9">
        <v>0</v>
      </c>
      <c r="Q9">
        <v>2.5</v>
      </c>
    </row>
    <row r="10" spans="1:33" hidden="1">
      <c r="A10" t="s">
        <v>21</v>
      </c>
      <c r="B10" t="s">
        <v>22</v>
      </c>
      <c r="C10" t="s">
        <v>12</v>
      </c>
      <c r="D10" t="s">
        <v>13</v>
      </c>
      <c r="E10">
        <v>2001</v>
      </c>
      <c r="F10">
        <v>42</v>
      </c>
      <c r="G10">
        <v>43</v>
      </c>
      <c r="H10">
        <v>1</v>
      </c>
      <c r="I10" t="s">
        <v>32</v>
      </c>
      <c r="J10">
        <v>0</v>
      </c>
      <c r="K10">
        <v>8.1999999999999993</v>
      </c>
      <c r="L10">
        <v>0</v>
      </c>
      <c r="M10">
        <v>4.2859999999999996</v>
      </c>
      <c r="N10">
        <v>23.013999999999999</v>
      </c>
      <c r="O10">
        <v>4</v>
      </c>
      <c r="P10">
        <v>0</v>
      </c>
      <c r="Q10">
        <v>2.5</v>
      </c>
      <c r="R10">
        <v>0</v>
      </c>
      <c r="S10">
        <v>1</v>
      </c>
    </row>
    <row r="11" spans="1:33" hidden="1">
      <c r="A11" t="s">
        <v>21</v>
      </c>
      <c r="B11" t="s">
        <v>19</v>
      </c>
      <c r="C11" t="s">
        <v>12</v>
      </c>
      <c r="D11" t="s">
        <v>13</v>
      </c>
      <c r="E11">
        <v>2001</v>
      </c>
      <c r="F11">
        <v>43</v>
      </c>
      <c r="G11">
        <v>48</v>
      </c>
      <c r="H11">
        <v>5</v>
      </c>
      <c r="I11" t="s">
        <v>32</v>
      </c>
      <c r="J11">
        <v>0</v>
      </c>
      <c r="K11">
        <v>8.1999999999999993</v>
      </c>
      <c r="L11">
        <v>0</v>
      </c>
      <c r="M11">
        <v>4.2859999999999996</v>
      </c>
      <c r="N11">
        <v>23.013999999999999</v>
      </c>
      <c r="O11">
        <v>4</v>
      </c>
      <c r="P11">
        <v>0</v>
      </c>
      <c r="Q11">
        <v>2.5</v>
      </c>
      <c r="R11">
        <v>0</v>
      </c>
      <c r="S11">
        <v>1</v>
      </c>
      <c r="T11">
        <v>0</v>
      </c>
      <c r="U11">
        <v>5</v>
      </c>
    </row>
    <row r="12" spans="1:33">
      <c r="A12" t="s">
        <v>21</v>
      </c>
      <c r="B12" t="s">
        <v>22</v>
      </c>
      <c r="C12" t="s">
        <v>12</v>
      </c>
      <c r="D12" t="s">
        <v>13</v>
      </c>
      <c r="E12">
        <v>2001</v>
      </c>
      <c r="F12">
        <v>48</v>
      </c>
      <c r="G12">
        <v>50.6</v>
      </c>
      <c r="H12">
        <v>2.6</v>
      </c>
      <c r="I12" t="s">
        <v>33</v>
      </c>
      <c r="J12">
        <v>0</v>
      </c>
      <c r="K12">
        <v>8.1999999999999993</v>
      </c>
      <c r="L12">
        <v>0</v>
      </c>
      <c r="M12">
        <v>4.2859999999999996</v>
      </c>
      <c r="N12">
        <v>23.013999999999999</v>
      </c>
      <c r="O12">
        <v>4</v>
      </c>
      <c r="P12">
        <v>0</v>
      </c>
      <c r="Q12">
        <v>2.5</v>
      </c>
      <c r="R12">
        <v>0</v>
      </c>
      <c r="S12">
        <v>1</v>
      </c>
      <c r="T12">
        <v>0</v>
      </c>
      <c r="U12">
        <v>5</v>
      </c>
      <c r="V12">
        <v>0</v>
      </c>
      <c r="W12">
        <v>2.6</v>
      </c>
    </row>
    <row r="13" spans="1:33">
      <c r="A13" t="s">
        <v>23</v>
      </c>
      <c r="B13" t="s">
        <v>19</v>
      </c>
      <c r="C13" t="s">
        <v>12</v>
      </c>
      <c r="D13" t="s">
        <v>13</v>
      </c>
      <c r="E13">
        <v>2004</v>
      </c>
      <c r="F13">
        <v>16.100000000000001</v>
      </c>
      <c r="G13">
        <v>19.715</v>
      </c>
      <c r="H13">
        <v>3.6150000000000002</v>
      </c>
      <c r="I13" t="s">
        <v>33</v>
      </c>
      <c r="J13">
        <v>16.100000000000001</v>
      </c>
      <c r="K13">
        <v>3.6150000000000002</v>
      </c>
    </row>
    <row r="14" spans="1:33">
      <c r="A14" t="s">
        <v>24</v>
      </c>
      <c r="B14" t="s">
        <v>25</v>
      </c>
      <c r="C14" t="s">
        <v>12</v>
      </c>
      <c r="D14" t="s">
        <v>13</v>
      </c>
      <c r="E14">
        <v>2005</v>
      </c>
      <c r="F14">
        <v>19.885000000000002</v>
      </c>
      <c r="G14">
        <v>25</v>
      </c>
      <c r="H14">
        <v>5.1150000000000002</v>
      </c>
      <c r="I14" t="s">
        <v>33</v>
      </c>
      <c r="J14">
        <v>19.885000000000002</v>
      </c>
      <c r="K14">
        <v>5.1150000000000002</v>
      </c>
    </row>
    <row r="15" spans="1:33">
      <c r="A15" t="s">
        <v>26</v>
      </c>
      <c r="B15" t="s">
        <v>25</v>
      </c>
      <c r="C15" t="s">
        <v>12</v>
      </c>
      <c r="D15" t="s">
        <v>13</v>
      </c>
      <c r="E15">
        <v>2006</v>
      </c>
      <c r="F15">
        <v>50.6</v>
      </c>
      <c r="G15">
        <v>58.582999999999998</v>
      </c>
      <c r="H15">
        <v>7.9829999999999997</v>
      </c>
      <c r="I15" t="s">
        <v>33</v>
      </c>
      <c r="J15">
        <v>50.6</v>
      </c>
      <c r="K15">
        <v>7.9829999999999997</v>
      </c>
    </row>
    <row r="16" spans="1:33" hidden="1">
      <c r="A16" t="s">
        <v>27</v>
      </c>
      <c r="B16" t="s">
        <v>11</v>
      </c>
      <c r="C16" t="s">
        <v>12</v>
      </c>
      <c r="D16" t="s">
        <v>13</v>
      </c>
      <c r="E16">
        <v>2009</v>
      </c>
      <c r="F16">
        <v>19.885000000000002</v>
      </c>
      <c r="G16">
        <v>24.504000000000001</v>
      </c>
      <c r="H16">
        <v>4.6189999999999998</v>
      </c>
      <c r="I16" t="s">
        <v>32</v>
      </c>
      <c r="J16">
        <v>19.885000000000002</v>
      </c>
      <c r="K16">
        <v>4.6189999999999998</v>
      </c>
    </row>
    <row r="17" spans="1:21">
      <c r="A17" t="s">
        <v>28</v>
      </c>
      <c r="B17" t="s">
        <v>25</v>
      </c>
      <c r="C17" t="s">
        <v>12</v>
      </c>
      <c r="D17" t="s">
        <v>13</v>
      </c>
      <c r="E17">
        <v>2009</v>
      </c>
      <c r="F17">
        <v>50.6</v>
      </c>
      <c r="G17">
        <v>58.582999999999998</v>
      </c>
      <c r="H17">
        <v>7.9829999999999997</v>
      </c>
      <c r="I17" t="s">
        <v>33</v>
      </c>
      <c r="J17">
        <v>19.885000000000002</v>
      </c>
      <c r="K17">
        <v>4.6189999999999998</v>
      </c>
      <c r="L17">
        <v>26.096</v>
      </c>
      <c r="M17">
        <v>7.9829999999999997</v>
      </c>
    </row>
    <row r="18" spans="1:21" hidden="1">
      <c r="A18" t="s">
        <v>29</v>
      </c>
      <c r="B18" t="s">
        <v>19</v>
      </c>
      <c r="C18" t="s">
        <v>12</v>
      </c>
      <c r="D18" t="s">
        <v>13</v>
      </c>
      <c r="E18">
        <v>2010</v>
      </c>
      <c r="F18">
        <v>16.2</v>
      </c>
      <c r="G18">
        <v>16.3</v>
      </c>
      <c r="H18">
        <v>0.1</v>
      </c>
      <c r="I18" t="s">
        <v>32</v>
      </c>
      <c r="J18">
        <v>16.2</v>
      </c>
      <c r="K18">
        <v>0.1</v>
      </c>
    </row>
    <row r="19" spans="1:21" hidden="1">
      <c r="A19" t="s">
        <v>29</v>
      </c>
      <c r="B19" t="s">
        <v>19</v>
      </c>
      <c r="C19" t="s">
        <v>12</v>
      </c>
      <c r="D19" t="s">
        <v>13</v>
      </c>
      <c r="E19">
        <v>2010</v>
      </c>
      <c r="F19">
        <v>16.3</v>
      </c>
      <c r="G19">
        <v>16.399999999999999</v>
      </c>
      <c r="H19">
        <v>0.1</v>
      </c>
      <c r="I19" t="s">
        <v>32</v>
      </c>
      <c r="J19">
        <v>16.2</v>
      </c>
      <c r="K19">
        <v>0.1</v>
      </c>
      <c r="L19">
        <v>0</v>
      </c>
      <c r="M19">
        <v>0.1</v>
      </c>
    </row>
    <row r="20" spans="1:21">
      <c r="A20" t="s">
        <v>30</v>
      </c>
      <c r="B20" t="s">
        <v>11</v>
      </c>
      <c r="C20" t="s">
        <v>12</v>
      </c>
      <c r="D20" t="s">
        <v>13</v>
      </c>
      <c r="E20">
        <v>2010</v>
      </c>
      <c r="F20">
        <v>50.6</v>
      </c>
      <c r="G20">
        <v>58.582999999999998</v>
      </c>
      <c r="H20">
        <v>7.9829999999999997</v>
      </c>
      <c r="I20" t="s">
        <v>33</v>
      </c>
      <c r="J20">
        <v>16.2</v>
      </c>
      <c r="K20">
        <v>0.1</v>
      </c>
      <c r="L20">
        <v>0</v>
      </c>
      <c r="M20">
        <v>0.1</v>
      </c>
      <c r="N20">
        <v>34.200000000000003</v>
      </c>
      <c r="O20">
        <v>7.9829999999999997</v>
      </c>
    </row>
    <row r="21" spans="1:21" hidden="1">
      <c r="A21" t="s">
        <v>31</v>
      </c>
      <c r="B21" t="s">
        <v>25</v>
      </c>
      <c r="C21" t="s">
        <v>12</v>
      </c>
      <c r="D21" t="s">
        <v>13</v>
      </c>
      <c r="E21">
        <v>2012</v>
      </c>
      <c r="F21">
        <v>30.5</v>
      </c>
      <c r="G21">
        <v>35.5</v>
      </c>
      <c r="H21">
        <v>5</v>
      </c>
      <c r="I21" t="s">
        <v>32</v>
      </c>
      <c r="J21">
        <v>30.5</v>
      </c>
      <c r="K21">
        <v>5</v>
      </c>
    </row>
    <row r="22" spans="1:21">
      <c r="A22" t="s">
        <v>31</v>
      </c>
      <c r="B22" t="s">
        <v>11</v>
      </c>
      <c r="C22" t="s">
        <v>12</v>
      </c>
      <c r="D22" t="s">
        <v>13</v>
      </c>
      <c r="E22">
        <v>2012</v>
      </c>
      <c r="F22">
        <v>30.5</v>
      </c>
      <c r="G22">
        <v>50.6</v>
      </c>
      <c r="H22">
        <v>20.100000000000001</v>
      </c>
      <c r="I22" t="s">
        <v>33</v>
      </c>
      <c r="J22">
        <v>30.5</v>
      </c>
      <c r="K22">
        <v>5</v>
      </c>
      <c r="L22">
        <v>0</v>
      </c>
      <c r="M22">
        <v>15.1</v>
      </c>
    </row>
    <row r="27" spans="1:21">
      <c r="Q27" s="2"/>
    </row>
    <row r="28" spans="1:21">
      <c r="Q28" s="2"/>
    </row>
    <row r="29" spans="1:21">
      <c r="Q29" s="2"/>
      <c r="U29" s="2"/>
    </row>
    <row r="30" spans="1:21">
      <c r="Q30" s="2"/>
      <c r="U30" s="2"/>
    </row>
    <row r="31" spans="1:21">
      <c r="Q31" s="2"/>
      <c r="U31" s="2"/>
    </row>
  </sheetData>
  <autoFilter ref="A1:AG22">
    <filterColumn colId="8">
      <customFilters>
        <customFilter operator="notEqual" val=" 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"/>
  <sheetViews>
    <sheetView workbookViewId="0">
      <selection activeCell="F4" sqref="F4"/>
    </sheetView>
  </sheetViews>
  <sheetFormatPr defaultRowHeight="15"/>
  <sheetData>
    <row r="1" spans="1:25"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51</v>
      </c>
      <c r="T1" t="s">
        <v>52</v>
      </c>
      <c r="U1" t="s">
        <v>53</v>
      </c>
      <c r="V1" t="s">
        <v>54</v>
      </c>
      <c r="W1" t="s">
        <v>55</v>
      </c>
      <c r="X1" t="s">
        <v>56</v>
      </c>
      <c r="Y1" t="s">
        <v>57</v>
      </c>
    </row>
    <row r="2" spans="1:25">
      <c r="A2">
        <v>1992</v>
      </c>
      <c r="B2">
        <v>10</v>
      </c>
      <c r="C2">
        <v>1.07</v>
      </c>
      <c r="D2">
        <v>39.53</v>
      </c>
      <c r="E2">
        <v>7.9829999999999997</v>
      </c>
    </row>
    <row r="3" spans="1:25">
      <c r="A3">
        <v>1993</v>
      </c>
      <c r="B3">
        <v>24.524000000000001</v>
      </c>
      <c r="C3">
        <v>1.776</v>
      </c>
    </row>
    <row r="4" spans="1:25">
      <c r="A4">
        <v>2000</v>
      </c>
      <c r="B4">
        <v>50.6</v>
      </c>
      <c r="C4">
        <v>7.9829999999999997</v>
      </c>
    </row>
    <row r="5" spans="1:25">
      <c r="A5">
        <v>2001</v>
      </c>
      <c r="B5">
        <v>0</v>
      </c>
      <c r="C5">
        <v>8.1999999999999993</v>
      </c>
      <c r="D5">
        <v>0</v>
      </c>
      <c r="E5">
        <v>4.2859999999999996</v>
      </c>
      <c r="F5">
        <v>23.013999999999999</v>
      </c>
      <c r="G5">
        <v>4</v>
      </c>
      <c r="H5">
        <v>0</v>
      </c>
      <c r="I5">
        <v>2.5</v>
      </c>
      <c r="J5">
        <v>0</v>
      </c>
      <c r="K5">
        <v>1</v>
      </c>
      <c r="L5">
        <v>0</v>
      </c>
      <c r="M5">
        <v>5</v>
      </c>
      <c r="N5">
        <v>0</v>
      </c>
      <c r="O5">
        <v>2.6</v>
      </c>
    </row>
    <row r="6" spans="1:25">
      <c r="A6">
        <v>2004</v>
      </c>
      <c r="B6">
        <v>16.100000000000001</v>
      </c>
      <c r="C6">
        <v>3.6150000000000002</v>
      </c>
    </row>
    <row r="7" spans="1:25">
      <c r="A7">
        <v>2005</v>
      </c>
      <c r="B7">
        <v>19.885000000000002</v>
      </c>
      <c r="C7">
        <v>5.1150000000000002</v>
      </c>
    </row>
    <row r="8" spans="1:25">
      <c r="A8">
        <v>2006</v>
      </c>
      <c r="B8">
        <v>50.6</v>
      </c>
      <c r="C8">
        <v>7.9829999999999997</v>
      </c>
    </row>
    <row r="9" spans="1:25">
      <c r="A9">
        <v>2009</v>
      </c>
      <c r="B9">
        <v>19.885000000000002</v>
      </c>
      <c r="C9">
        <v>4.6189999999999998</v>
      </c>
      <c r="D9">
        <v>26.096</v>
      </c>
      <c r="E9">
        <v>7.9829999999999997</v>
      </c>
    </row>
    <row r="10" spans="1:25">
      <c r="A10">
        <v>2010</v>
      </c>
      <c r="B10">
        <v>16.2</v>
      </c>
      <c r="C10">
        <v>0.1</v>
      </c>
      <c r="D10">
        <v>0</v>
      </c>
      <c r="E10">
        <v>0.1</v>
      </c>
      <c r="F10">
        <v>34.200000000000003</v>
      </c>
      <c r="G10">
        <v>7.9829999999999997</v>
      </c>
    </row>
    <row r="11" spans="1:25">
      <c r="A11">
        <v>2012</v>
      </c>
      <c r="B11">
        <v>30.5</v>
      </c>
      <c r="C11">
        <v>5</v>
      </c>
      <c r="D11">
        <v>0</v>
      </c>
      <c r="E11">
        <v>15.1</v>
      </c>
    </row>
    <row r="16" spans="1:25">
      <c r="I16" s="2"/>
    </row>
    <row r="17" spans="9:13">
      <c r="I17" s="2"/>
    </row>
    <row r="18" spans="9:13">
      <c r="I18" s="2"/>
      <c r="M18" s="2"/>
    </row>
    <row r="19" spans="9:13">
      <c r="I19" s="2"/>
      <c r="M19" s="2"/>
    </row>
    <row r="20" spans="9:13">
      <c r="I20" s="2"/>
      <c r="M20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1"/>
  <sheetViews>
    <sheetView tabSelected="1" zoomScale="115" zoomScaleNormal="115" workbookViewId="0">
      <selection activeCell="F19" sqref="F19"/>
    </sheetView>
  </sheetViews>
  <sheetFormatPr defaultRowHeight="15"/>
  <cols>
    <col min="1" max="1" width="5.5703125" bestFit="1" customWidth="1"/>
    <col min="2" max="2" width="14.7109375" bestFit="1" customWidth="1"/>
    <col min="3" max="3" width="16.28515625" bestFit="1" customWidth="1"/>
    <col min="4" max="4" width="15.140625" bestFit="1" customWidth="1"/>
    <col min="5" max="5" width="16.28515625" bestFit="1" customWidth="1"/>
    <col min="6" max="6" width="15.140625" bestFit="1" customWidth="1"/>
    <col min="7" max="7" width="11.140625" bestFit="1" customWidth="1"/>
    <col min="8" max="8" width="12.85546875" bestFit="1" customWidth="1"/>
    <col min="9" max="10" width="11.140625" bestFit="1" customWidth="1"/>
    <col min="11" max="13" width="12.28515625" bestFit="1" customWidth="1"/>
    <col min="14" max="14" width="14" bestFit="1" customWidth="1"/>
    <col min="15" max="15" width="11.140625" bestFit="1" customWidth="1"/>
    <col min="16" max="16" width="4.7109375" bestFit="1" customWidth="1"/>
    <col min="17" max="25" width="4.5703125" bestFit="1" customWidth="1"/>
  </cols>
  <sheetData>
    <row r="1" spans="1:16"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</row>
    <row r="2" spans="1:16">
      <c r="A2">
        <v>1992</v>
      </c>
      <c r="B2" t="str">
        <f>IF(('Chart Data'!C2 = 0), 0, $A2&amp;", " &amp;B$1&amp;", " &amp;'Chart Data'!C2)</f>
        <v>1992, L1, 1.07</v>
      </c>
      <c r="C2" t="str">
        <f>IF(('Chart Data'!D2 = 0), "", $A2&amp;", " &amp;C$1&amp;", " &amp;'Chart Data'!D2)</f>
        <v>1992,  L2, 39.53</v>
      </c>
      <c r="D2" t="str">
        <f>IF(('Chart Data'!E2 = 0), "", $A2&amp;", " &amp;D$1&amp;", " &amp;'Chart Data'!E2)</f>
        <v>1992,  L3, 7.983</v>
      </c>
      <c r="E2" t="str">
        <f>IF(('Chart Data'!F2 = 0), "", $A2&amp;", " &amp;E$1&amp;", " &amp;'Chart Data'!F2)</f>
        <v/>
      </c>
      <c r="F2" t="str">
        <f>IF(('Chart Data'!G2 = 0), "", $A2&amp;", " &amp;F$1&amp;", " &amp;'Chart Data'!G2)</f>
        <v/>
      </c>
      <c r="G2" t="str">
        <f>IF(('Chart Data'!H2 = 0), "", $A2&amp;", " &amp;G$1&amp;", " &amp;'Chart Data'!H2)</f>
        <v/>
      </c>
      <c r="H2" t="str">
        <f>IF(('Chart Data'!I2 = 0), "", $A2&amp;", " &amp;H$1&amp;", " &amp;'Chart Data'!I2)</f>
        <v/>
      </c>
      <c r="I2" t="str">
        <f>IF(('Chart Data'!J2 = 0), "", $A2&amp;", " &amp;I$1&amp;", " &amp;'Chart Data'!J2)</f>
        <v/>
      </c>
      <c r="J2" t="str">
        <f>IF(('Chart Data'!K2 = 0), "", $A2&amp;", " &amp;J$1&amp;", " &amp;'Chart Data'!K2)</f>
        <v/>
      </c>
      <c r="K2" t="str">
        <f>IF(('Chart Data'!L2 = 0), "", $A2&amp;", " &amp;K$1&amp;", " &amp;'Chart Data'!L2)</f>
        <v/>
      </c>
      <c r="L2" t="str">
        <f>IF(('Chart Data'!M2 = 0), "", $A2&amp;", " &amp;L$1&amp;", " &amp;'Chart Data'!M2)</f>
        <v/>
      </c>
      <c r="M2" t="str">
        <f>IF(('Chart Data'!N2 = 0), "", $A2&amp;", " &amp;M$1&amp;", " &amp;'Chart Data'!N2)</f>
        <v/>
      </c>
      <c r="N2" t="str">
        <f>IF(('Chart Data'!O2 = 0), "", $A2&amp;", " &amp;N$1&amp;", " &amp;'Chart Data'!O2)</f>
        <v/>
      </c>
      <c r="O2" t="str">
        <f>IF(('Chart Data'!P2 = 0), "", $A2&amp;", " &amp;O$1&amp;", " &amp;'Chart Data'!P2)</f>
        <v/>
      </c>
      <c r="P2">
        <f>IF(('Chart Data'!Q2 = 0), 0, $A2&amp;", " &amp;P$1&amp;", " &amp;'Chart Data'!Q2)</f>
        <v>0</v>
      </c>
    </row>
    <row r="3" spans="1:16">
      <c r="A3">
        <v>1993</v>
      </c>
      <c r="B3" t="str">
        <f>$A3&amp;", " &amp;B$1&amp;", " &amp;'Chart Data'!C3</f>
        <v>1993, L1, 1.776</v>
      </c>
      <c r="C3" t="str">
        <f>IF(('Chart Data'!D3 = 0), "", $A3&amp;", " &amp;C$1&amp;", " &amp;'Chart Data'!D3)</f>
        <v/>
      </c>
      <c r="D3" t="str">
        <f>IF(('Chart Data'!E3 = 0), "", $A3&amp;", " &amp;D$1&amp;", " &amp;'Chart Data'!E3)</f>
        <v/>
      </c>
      <c r="E3" t="str">
        <f>IF(('Chart Data'!F3 = 0), "", $A3&amp;", " &amp;E$1&amp;", " &amp;'Chart Data'!F3)</f>
        <v/>
      </c>
      <c r="F3" t="str">
        <f>IF(('Chart Data'!G3 = 0), "", $A3&amp;", " &amp;F$1&amp;", " &amp;'Chart Data'!G3)</f>
        <v/>
      </c>
      <c r="G3" t="str">
        <f>IF(('Chart Data'!H3 = 0), "", $A3&amp;", " &amp;G$1&amp;", " &amp;'Chart Data'!H3)</f>
        <v/>
      </c>
      <c r="H3" t="str">
        <f>IF(('Chart Data'!I3 = 0), "", $A3&amp;", " &amp;H$1&amp;", " &amp;'Chart Data'!I3)</f>
        <v/>
      </c>
      <c r="I3" t="str">
        <f>IF(('Chart Data'!J3 = 0), "", $A3&amp;", " &amp;I$1&amp;", " &amp;'Chart Data'!J3)</f>
        <v/>
      </c>
      <c r="J3" t="str">
        <f>IF(('Chart Data'!K3 = 0), "", $A3&amp;", " &amp;J$1&amp;", " &amp;'Chart Data'!K3)</f>
        <v/>
      </c>
      <c r="K3" t="str">
        <f>IF(('Chart Data'!L3 = 0), "", $A3&amp;", " &amp;K$1&amp;", " &amp;'Chart Data'!L3)</f>
        <v/>
      </c>
      <c r="L3" t="str">
        <f>IF(('Chart Data'!M3 = 0), "", $A3&amp;", " &amp;L$1&amp;", " &amp;'Chart Data'!M3)</f>
        <v/>
      </c>
      <c r="M3" t="str">
        <f>IF(('Chart Data'!N3 = 0), "", $A3&amp;", " &amp;M$1&amp;", " &amp;'Chart Data'!N3)</f>
        <v/>
      </c>
      <c r="N3" t="str">
        <f>IF(('Chart Data'!O3 = 0), "", $A3&amp;", " &amp;N$1&amp;", " &amp;'Chart Data'!O3)</f>
        <v/>
      </c>
      <c r="O3" t="str">
        <f>IF(('Chart Data'!P3 = 0), "", $A3&amp;", " &amp;O$1&amp;", " &amp;'Chart Data'!P3)</f>
        <v/>
      </c>
    </row>
    <row r="4" spans="1:16">
      <c r="A4">
        <v>2000</v>
      </c>
      <c r="B4" t="str">
        <f>$A4&amp;", " &amp;B$1&amp;", " &amp;'Chart Data'!C4</f>
        <v>2000, L1, 7.983</v>
      </c>
      <c r="C4" t="str">
        <f>IF(('Chart Data'!D4 = 0), "", $A4&amp;", " &amp;C$1&amp;", " &amp;'Chart Data'!D4)</f>
        <v/>
      </c>
      <c r="D4" t="str">
        <f>IF(('Chart Data'!E4 = 0), "", $A4&amp;", " &amp;D$1&amp;", " &amp;'Chart Data'!E4)</f>
        <v/>
      </c>
      <c r="E4" t="str">
        <f>IF(('Chart Data'!F4 = 0), "", $A4&amp;", " &amp;E$1&amp;", " &amp;'Chart Data'!F4)</f>
        <v/>
      </c>
      <c r="F4" t="str">
        <f>IF(('Chart Data'!G4 = 0), "", $A4&amp;", " &amp;F$1&amp;", " &amp;'Chart Data'!G4)</f>
        <v/>
      </c>
      <c r="G4" t="str">
        <f>IF(('Chart Data'!H4 = 0), "", $A4&amp;", " &amp;G$1&amp;", " &amp;'Chart Data'!H4)</f>
        <v/>
      </c>
      <c r="H4" t="str">
        <f>IF(('Chart Data'!I4 = 0), "", $A4&amp;", " &amp;H$1&amp;", " &amp;'Chart Data'!I4)</f>
        <v/>
      </c>
      <c r="I4" t="str">
        <f>IF(('Chart Data'!J4 = 0), "", $A4&amp;", " &amp;I$1&amp;", " &amp;'Chart Data'!J4)</f>
        <v/>
      </c>
      <c r="J4" t="str">
        <f>IF(('Chart Data'!K4 = 0), "", $A4&amp;", " &amp;J$1&amp;", " &amp;'Chart Data'!K4)</f>
        <v/>
      </c>
      <c r="K4" t="str">
        <f>IF(('Chart Data'!L4 = 0), "", $A4&amp;", " &amp;K$1&amp;", " &amp;'Chart Data'!L4)</f>
        <v/>
      </c>
      <c r="L4" t="str">
        <f>IF(('Chart Data'!M4 = 0), "", $A4&amp;", " &amp;L$1&amp;", " &amp;'Chart Data'!M4)</f>
        <v/>
      </c>
      <c r="M4" t="str">
        <f>IF(('Chart Data'!N4 = 0), "", $A4&amp;", " &amp;M$1&amp;", " &amp;'Chart Data'!N4)</f>
        <v/>
      </c>
      <c r="N4" t="str">
        <f>IF(('Chart Data'!O4 = 0), "", $A4&amp;", " &amp;N$1&amp;", " &amp;'Chart Data'!O4)</f>
        <v/>
      </c>
      <c r="O4" t="str">
        <f>IF(('Chart Data'!P4 = 0), "", $A4&amp;", " &amp;O$1&amp;", " &amp;'Chart Data'!P4)</f>
        <v/>
      </c>
    </row>
    <row r="5" spans="1:16">
      <c r="A5">
        <v>2001</v>
      </c>
      <c r="B5" t="str">
        <f>$A5&amp;", " &amp;B$1&amp;", " &amp;'Chart Data'!C5</f>
        <v>2001, L1, 8.2</v>
      </c>
      <c r="C5" t="str">
        <f>IF(('Chart Data'!D5 = 0), "", $A5&amp;", " &amp;C$1&amp;", " &amp;'Chart Data'!D5)</f>
        <v/>
      </c>
      <c r="D5" t="str">
        <f>IF(('Chart Data'!E5 = 0), "", $A5&amp;", " &amp;D$1&amp;", " &amp;'Chart Data'!E5)</f>
        <v>2001,  L3, 4.286</v>
      </c>
      <c r="E5" t="str">
        <f>IF(('Chart Data'!F5 = 0), "", $A5&amp;", " &amp;E$1&amp;", " &amp;'Chart Data'!F5)</f>
        <v>2001,  L4, 23.014</v>
      </c>
      <c r="F5" t="str">
        <f>IF(('Chart Data'!G5 = 0), "", $A5&amp;", " &amp;F$1&amp;", " &amp;'Chart Data'!G5)</f>
        <v>2001,  L5, 4</v>
      </c>
      <c r="G5" t="str">
        <f>IF(('Chart Data'!H5 = 0), "", $A5&amp;", " &amp;G$1&amp;", " &amp;'Chart Data'!H5)</f>
        <v/>
      </c>
      <c r="H5" t="str">
        <f>IF(('Chart Data'!I5 = 0), "", $A5&amp;", " &amp;H$1&amp;", " &amp;'Chart Data'!I5)</f>
        <v>2001,  L7, 2.5</v>
      </c>
      <c r="I5" t="str">
        <f>IF(('Chart Data'!J5 = 0), "", $A5&amp;", " &amp;I$1&amp;", " &amp;'Chart Data'!J5)</f>
        <v/>
      </c>
      <c r="J5" t="str">
        <f>IF(('Chart Data'!K5 = 0), "", $A5&amp;", " &amp;J$1&amp;", " &amp;'Chart Data'!K5)</f>
        <v>2001,  L9, 1</v>
      </c>
      <c r="K5" t="str">
        <f>IF(('Chart Data'!L5 = 0), "", $A5&amp;", " &amp;K$1&amp;", " &amp;'Chart Data'!L5)</f>
        <v/>
      </c>
      <c r="L5" t="str">
        <f>IF(('Chart Data'!M5 = 0), "", $A5&amp;", " &amp;L$1&amp;", " &amp;'Chart Data'!M5)</f>
        <v>2001,  L11, 5</v>
      </c>
      <c r="M5" t="str">
        <f>IF(('Chart Data'!N5 = 0), "", $A5&amp;", " &amp;M$1&amp;", " &amp;'Chart Data'!N5)</f>
        <v/>
      </c>
      <c r="N5" t="str">
        <f>IF(('Chart Data'!O5 = 0), "", $A5&amp;", " &amp;N$1&amp;", " &amp;'Chart Data'!O5)</f>
        <v>2001,  L13, 2.6</v>
      </c>
      <c r="O5" t="str">
        <f>IF(('Chart Data'!P5 = 0), "", $A5&amp;", " &amp;O$1&amp;", " &amp;'Chart Data'!P5)</f>
        <v/>
      </c>
    </row>
    <row r="6" spans="1:16">
      <c r="A6">
        <v>2004</v>
      </c>
      <c r="B6" t="str">
        <f>$A6&amp;", " &amp;B$1&amp;", " &amp;'Chart Data'!C6</f>
        <v>2004, L1, 3.615</v>
      </c>
      <c r="C6" t="str">
        <f>IF(('Chart Data'!D6 = 0), "", $A6&amp;", " &amp;C$1&amp;", " &amp;'Chart Data'!D6)</f>
        <v/>
      </c>
      <c r="D6" t="str">
        <f>IF(('Chart Data'!E6 = 0), "", $A6&amp;", " &amp;D$1&amp;", " &amp;'Chart Data'!E6)</f>
        <v/>
      </c>
      <c r="E6" t="str">
        <f>IF(('Chart Data'!F6 = 0), "", $A6&amp;", " &amp;E$1&amp;", " &amp;'Chart Data'!F6)</f>
        <v/>
      </c>
      <c r="F6" t="str">
        <f>IF(('Chart Data'!G6 = 0), "", $A6&amp;", " &amp;F$1&amp;", " &amp;'Chart Data'!G6)</f>
        <v/>
      </c>
      <c r="G6" t="str">
        <f>IF(('Chart Data'!H6 = 0), "", $A6&amp;", " &amp;G$1&amp;", " &amp;'Chart Data'!H6)</f>
        <v/>
      </c>
      <c r="H6" t="str">
        <f>IF(('Chart Data'!I6 = 0), "", $A6&amp;", " &amp;H$1&amp;", " &amp;'Chart Data'!I6)</f>
        <v/>
      </c>
      <c r="I6" t="str">
        <f>IF(('Chart Data'!J6 = 0), "", $A6&amp;", " &amp;I$1&amp;", " &amp;'Chart Data'!J6)</f>
        <v/>
      </c>
      <c r="J6" t="str">
        <f>IF(('Chart Data'!K6 = 0), "", $A6&amp;", " &amp;J$1&amp;", " &amp;'Chart Data'!K6)</f>
        <v/>
      </c>
      <c r="K6" t="str">
        <f>IF(('Chart Data'!L6 = 0), "", $A6&amp;", " &amp;K$1&amp;", " &amp;'Chart Data'!L6)</f>
        <v/>
      </c>
      <c r="L6" t="str">
        <f>IF(('Chart Data'!M6 = 0), "", $A6&amp;", " &amp;L$1&amp;", " &amp;'Chart Data'!M6)</f>
        <v/>
      </c>
      <c r="M6" t="str">
        <f>IF(('Chart Data'!N6 = 0), "", $A6&amp;", " &amp;M$1&amp;", " &amp;'Chart Data'!N6)</f>
        <v/>
      </c>
      <c r="N6" t="str">
        <f>IF(('Chart Data'!O6 = 0), "", $A6&amp;", " &amp;N$1&amp;", " &amp;'Chart Data'!O6)</f>
        <v/>
      </c>
      <c r="O6" t="str">
        <f>IF(('Chart Data'!P6 = 0), "", $A6&amp;", " &amp;O$1&amp;", " &amp;'Chart Data'!P6)</f>
        <v/>
      </c>
    </row>
    <row r="7" spans="1:16">
      <c r="A7">
        <v>2005</v>
      </c>
      <c r="B7" t="str">
        <f>$A7&amp;", " &amp;B$1&amp;", " &amp;'Chart Data'!C7</f>
        <v>2005, L1, 5.115</v>
      </c>
      <c r="C7" t="str">
        <f>IF(('Chart Data'!D7 = 0), "", $A7&amp;", " &amp;C$1&amp;", " &amp;'Chart Data'!D7)</f>
        <v/>
      </c>
      <c r="D7" t="str">
        <f>IF(('Chart Data'!E7 = 0), "", $A7&amp;", " &amp;D$1&amp;", " &amp;'Chart Data'!E7)</f>
        <v/>
      </c>
      <c r="E7" t="str">
        <f>IF(('Chart Data'!F7 = 0), "", $A7&amp;", " &amp;E$1&amp;", " &amp;'Chart Data'!F7)</f>
        <v/>
      </c>
      <c r="F7" t="str">
        <f>IF(('Chart Data'!G7 = 0), "", $A7&amp;", " &amp;F$1&amp;", " &amp;'Chart Data'!G7)</f>
        <v/>
      </c>
      <c r="G7" t="str">
        <f>IF(('Chart Data'!H7 = 0), "", $A7&amp;", " &amp;G$1&amp;", " &amp;'Chart Data'!H7)</f>
        <v/>
      </c>
      <c r="H7" t="str">
        <f>IF(('Chart Data'!I7 = 0), "", $A7&amp;", " &amp;H$1&amp;", " &amp;'Chart Data'!I7)</f>
        <v/>
      </c>
      <c r="I7" t="str">
        <f>IF(('Chart Data'!J7 = 0), "", $A7&amp;", " &amp;I$1&amp;", " &amp;'Chart Data'!J7)</f>
        <v/>
      </c>
      <c r="J7" t="str">
        <f>IF(('Chart Data'!K7 = 0), "", $A7&amp;", " &amp;J$1&amp;", " &amp;'Chart Data'!K7)</f>
        <v/>
      </c>
      <c r="K7" t="str">
        <f>IF(('Chart Data'!L7 = 0), "", $A7&amp;", " &amp;K$1&amp;", " &amp;'Chart Data'!L7)</f>
        <v/>
      </c>
      <c r="L7" t="str">
        <f>IF(('Chart Data'!M7 = 0), "", $A7&amp;", " &amp;L$1&amp;", " &amp;'Chart Data'!M7)</f>
        <v/>
      </c>
      <c r="M7" t="str">
        <f>IF(('Chart Data'!N7 = 0), "", $A7&amp;", " &amp;M$1&amp;", " &amp;'Chart Data'!N7)</f>
        <v/>
      </c>
      <c r="N7" t="str">
        <f>IF(('Chart Data'!O7 = 0), "", $A7&amp;", " &amp;N$1&amp;", " &amp;'Chart Data'!O7)</f>
        <v/>
      </c>
      <c r="O7" t="str">
        <f>IF(('Chart Data'!P7 = 0), "", $A7&amp;", " &amp;O$1&amp;", " &amp;'Chart Data'!P7)</f>
        <v/>
      </c>
    </row>
    <row r="8" spans="1:16">
      <c r="A8">
        <v>2006</v>
      </c>
      <c r="B8" t="str">
        <f>$A8&amp;", " &amp;B$1&amp;", " &amp;'Chart Data'!C8</f>
        <v>2006, L1, 7.983</v>
      </c>
      <c r="C8" t="str">
        <f>IF(('Chart Data'!D8 = 0), "", $A8&amp;", " &amp;C$1&amp;", " &amp;'Chart Data'!D8)</f>
        <v/>
      </c>
      <c r="D8" t="str">
        <f>IF(('Chart Data'!E8 = 0), "", $A8&amp;", " &amp;D$1&amp;", " &amp;'Chart Data'!E8)</f>
        <v/>
      </c>
      <c r="E8" t="str">
        <f>IF(('Chart Data'!F8 = 0), "", $A8&amp;", " &amp;E$1&amp;", " &amp;'Chart Data'!F8)</f>
        <v/>
      </c>
      <c r="F8" t="str">
        <f>IF(('Chart Data'!G8 = 0), "", $A8&amp;", " &amp;F$1&amp;", " &amp;'Chart Data'!G8)</f>
        <v/>
      </c>
      <c r="G8" t="str">
        <f>IF(('Chart Data'!H8 = 0), "", $A8&amp;", " &amp;G$1&amp;", " &amp;'Chart Data'!H8)</f>
        <v/>
      </c>
      <c r="H8" t="str">
        <f>IF(('Chart Data'!I8 = 0), "", $A8&amp;", " &amp;H$1&amp;", " &amp;'Chart Data'!I8)</f>
        <v/>
      </c>
      <c r="I8" t="str">
        <f>IF(('Chart Data'!J8 = 0), "", $A8&amp;", " &amp;I$1&amp;", " &amp;'Chart Data'!J8)</f>
        <v/>
      </c>
      <c r="J8" t="str">
        <f>IF(('Chart Data'!K8 = 0), "", $A8&amp;", " &amp;J$1&amp;", " &amp;'Chart Data'!K8)</f>
        <v/>
      </c>
      <c r="K8" t="str">
        <f>IF(('Chart Data'!L8 = 0), "", $A8&amp;", " &amp;K$1&amp;", " &amp;'Chart Data'!L8)</f>
        <v/>
      </c>
      <c r="L8" t="str">
        <f>IF(('Chart Data'!M8 = 0), "", $A8&amp;", " &amp;L$1&amp;", " &amp;'Chart Data'!M8)</f>
        <v/>
      </c>
      <c r="M8" t="str">
        <f>IF(('Chart Data'!N8 = 0), "", $A8&amp;", " &amp;M$1&amp;", " &amp;'Chart Data'!N8)</f>
        <v/>
      </c>
      <c r="N8" t="str">
        <f>IF(('Chart Data'!O8 = 0), "", $A8&amp;", " &amp;N$1&amp;", " &amp;'Chart Data'!O8)</f>
        <v/>
      </c>
      <c r="O8" t="str">
        <f>IF(('Chart Data'!P8 = 0), "", $A8&amp;", " &amp;O$1&amp;", " &amp;'Chart Data'!P8)</f>
        <v/>
      </c>
    </row>
    <row r="9" spans="1:16">
      <c r="A9">
        <v>2009</v>
      </c>
      <c r="B9" t="str">
        <f>$A9&amp;", " &amp;B$1&amp;", " &amp;'Chart Data'!C9</f>
        <v>2009, L1, 4.619</v>
      </c>
      <c r="C9" t="str">
        <f>IF(('Chart Data'!D9 = 0), "", $A9&amp;", " &amp;C$1&amp;", " &amp;'Chart Data'!D9)</f>
        <v>2009,  L2, 26.096</v>
      </c>
      <c r="D9" t="str">
        <f>IF(('Chart Data'!E9 = 0), "", $A9&amp;", " &amp;D$1&amp;", " &amp;'Chart Data'!E9)</f>
        <v>2009,  L3, 7.983</v>
      </c>
      <c r="E9" t="str">
        <f>IF(('Chart Data'!F9 = 0), "", $A9&amp;", " &amp;E$1&amp;", " &amp;'Chart Data'!F9)</f>
        <v/>
      </c>
      <c r="F9" t="str">
        <f>IF(('Chart Data'!G9 = 0), "", $A9&amp;", " &amp;F$1&amp;", " &amp;'Chart Data'!G9)</f>
        <v/>
      </c>
      <c r="G9" t="str">
        <f>IF(('Chart Data'!H9 = 0), "", $A9&amp;", " &amp;G$1&amp;", " &amp;'Chart Data'!H9)</f>
        <v/>
      </c>
      <c r="H9" t="str">
        <f>IF(('Chart Data'!I9 = 0), "", $A9&amp;", " &amp;H$1&amp;", " &amp;'Chart Data'!I9)</f>
        <v/>
      </c>
      <c r="I9" t="str">
        <f>IF(('Chart Data'!J9 = 0), "", $A9&amp;", " &amp;I$1&amp;", " &amp;'Chart Data'!J9)</f>
        <v/>
      </c>
      <c r="J9" t="str">
        <f>IF(('Chart Data'!K9 = 0), "", $A9&amp;", " &amp;J$1&amp;", " &amp;'Chart Data'!K9)</f>
        <v/>
      </c>
      <c r="K9" t="str">
        <f>IF(('Chart Data'!L9 = 0), "", $A9&amp;", " &amp;K$1&amp;", " &amp;'Chart Data'!L9)</f>
        <v/>
      </c>
      <c r="L9" t="str">
        <f>IF(('Chart Data'!M9 = 0), "", $A9&amp;", " &amp;L$1&amp;", " &amp;'Chart Data'!M9)</f>
        <v/>
      </c>
      <c r="M9" t="str">
        <f>IF(('Chart Data'!N9 = 0), "", $A9&amp;", " &amp;M$1&amp;", " &amp;'Chart Data'!N9)</f>
        <v/>
      </c>
      <c r="N9" t="str">
        <f>IF(('Chart Data'!O9 = 0), "", $A9&amp;", " &amp;N$1&amp;", " &amp;'Chart Data'!O9)</f>
        <v/>
      </c>
      <c r="O9" t="str">
        <f>IF(('Chart Data'!P9 = 0), "", $A9&amp;", " &amp;O$1&amp;", " &amp;'Chart Data'!P9)</f>
        <v/>
      </c>
    </row>
    <row r="10" spans="1:16">
      <c r="A10">
        <v>2010</v>
      </c>
      <c r="B10" t="str">
        <f>$A10&amp;", " &amp;B$1&amp;", " &amp;'Chart Data'!C10</f>
        <v>2010, L1, 0.1</v>
      </c>
      <c r="C10" t="str">
        <f>IF(('Chart Data'!D10 = 0), "", $A10&amp;", " &amp;C$1&amp;", " &amp;'Chart Data'!D10)</f>
        <v/>
      </c>
      <c r="D10" t="str">
        <f>IF(('Chart Data'!E10 = 0), "", $A10&amp;", " &amp;D$1&amp;", " &amp;'Chart Data'!E10)</f>
        <v>2010,  L3, 0.1</v>
      </c>
      <c r="E10" t="str">
        <f>IF(('Chart Data'!F10 = 0), "", $A10&amp;", " &amp;E$1&amp;", " &amp;'Chart Data'!F10)</f>
        <v>2010,  L4, 34.2</v>
      </c>
      <c r="F10" t="str">
        <f>IF(('Chart Data'!G10 = 0), "", $A10&amp;", " &amp;F$1&amp;", " &amp;'Chart Data'!G10)</f>
        <v>2010,  L5, 7.983</v>
      </c>
      <c r="G10" t="str">
        <f>IF(('Chart Data'!H10 = 0), "", $A10&amp;", " &amp;G$1&amp;", " &amp;'Chart Data'!H10)</f>
        <v/>
      </c>
      <c r="H10" t="str">
        <f>IF(('Chart Data'!I10 = 0), "", $A10&amp;", " &amp;H$1&amp;", " &amp;'Chart Data'!I10)</f>
        <v/>
      </c>
      <c r="I10" t="str">
        <f>IF(('Chart Data'!J10 = 0), "", $A10&amp;", " &amp;I$1&amp;", " &amp;'Chart Data'!J10)</f>
        <v/>
      </c>
      <c r="J10" t="str">
        <f>IF(('Chart Data'!K10 = 0), "", $A10&amp;", " &amp;J$1&amp;", " &amp;'Chart Data'!K10)</f>
        <v/>
      </c>
      <c r="K10" t="str">
        <f>IF(('Chart Data'!L10 = 0), "", $A10&amp;", " &amp;K$1&amp;", " &amp;'Chart Data'!L10)</f>
        <v/>
      </c>
      <c r="L10" t="str">
        <f>IF(('Chart Data'!M10 = 0), "", $A10&amp;", " &amp;L$1&amp;", " &amp;'Chart Data'!M10)</f>
        <v/>
      </c>
      <c r="M10" t="str">
        <f>IF(('Chart Data'!N10 = 0), "", $A10&amp;", " &amp;M$1&amp;", " &amp;'Chart Data'!N10)</f>
        <v/>
      </c>
      <c r="N10" t="str">
        <f>IF(('Chart Data'!O10 = 0), "", $A10&amp;", " &amp;N$1&amp;", " &amp;'Chart Data'!O10)</f>
        <v/>
      </c>
      <c r="O10" t="str">
        <f>IF(('Chart Data'!P10 = 0), "", $A10&amp;", " &amp;O$1&amp;", " &amp;'Chart Data'!P10)</f>
        <v/>
      </c>
    </row>
    <row r="11" spans="1:16">
      <c r="A11">
        <v>2012</v>
      </c>
      <c r="B11" t="str">
        <f>$A11&amp;", " &amp;B$1&amp;", " &amp;'Chart Data'!C11</f>
        <v>2012, L1, 5</v>
      </c>
      <c r="C11" t="str">
        <f>IF(('Chart Data'!D11 = 0), "", $A11&amp;", " &amp;C$1&amp;", " &amp;'Chart Data'!D11)</f>
        <v/>
      </c>
      <c r="D11" t="str">
        <f>IF(('Chart Data'!E11 = 0), "", $A11&amp;", " &amp;D$1&amp;", " &amp;'Chart Data'!E11)</f>
        <v>2012,  L3, 15.1</v>
      </c>
      <c r="E11" t="str">
        <f>IF(('Chart Data'!F11 = 0), "", $A11&amp;", " &amp;E$1&amp;", " &amp;'Chart Data'!F11)</f>
        <v/>
      </c>
      <c r="F11" t="str">
        <f>IF(('Chart Data'!G11 = 0), "", $A11&amp;", " &amp;F$1&amp;", " &amp;'Chart Data'!G11)</f>
        <v/>
      </c>
      <c r="G11" t="str">
        <f>IF(('Chart Data'!H11 = 0), "", $A11&amp;", " &amp;G$1&amp;", " &amp;'Chart Data'!H11)</f>
        <v/>
      </c>
      <c r="H11" t="str">
        <f>IF(('Chart Data'!I11 = 0), "", $A11&amp;", " &amp;H$1&amp;", " &amp;'Chart Data'!I11)</f>
        <v/>
      </c>
      <c r="I11" t="str">
        <f>IF(('Chart Data'!J11 = 0), "", $A11&amp;", " &amp;I$1&amp;", " &amp;'Chart Data'!J11)</f>
        <v/>
      </c>
      <c r="J11" t="str">
        <f>IF(('Chart Data'!K11 = 0), "", $A11&amp;", " &amp;J$1&amp;", " &amp;'Chart Data'!K11)</f>
        <v/>
      </c>
      <c r="K11" t="str">
        <f>IF(('Chart Data'!L11 = 0), "", $A11&amp;", " &amp;K$1&amp;", " &amp;'Chart Data'!L11)</f>
        <v/>
      </c>
      <c r="L11" t="str">
        <f>IF(('Chart Data'!M11 = 0), "", $A11&amp;", " &amp;L$1&amp;", " &amp;'Chart Data'!M11)</f>
        <v/>
      </c>
      <c r="M11" t="str">
        <f>IF(('Chart Data'!N11 = 0), "", $A11&amp;", " &amp;M$1&amp;", " &amp;'Chart Data'!N11)</f>
        <v/>
      </c>
      <c r="N11" t="str">
        <f>IF(('Chart Data'!O11 = 0), "", $A11&amp;", " &amp;N$1&amp;", " &amp;'Chart Data'!O11)</f>
        <v/>
      </c>
      <c r="O11" t="str">
        <f>IF(('Chart Data'!P11 = 0), "", $A11&amp;", " &amp;O$1&amp;", " &amp;'Chart Data'!P11)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RawData</vt:lpstr>
      <vt:lpstr>Formula</vt:lpstr>
      <vt:lpstr>Good Data</vt:lpstr>
      <vt:lpstr>Chart Data</vt:lpstr>
      <vt:lpstr>combineheaders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shq153</cp:lastModifiedBy>
  <dcterms:created xsi:type="dcterms:W3CDTF">2014-08-24T23:16:15Z</dcterms:created>
  <dcterms:modified xsi:type="dcterms:W3CDTF">2014-08-28T20:08:46Z</dcterms:modified>
</cp:coreProperties>
</file>