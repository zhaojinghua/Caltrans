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  <sheet name="combineheaders" sheetId="13" r:id="rId5"/>
  </sheets>
  <definedNames>
    <definedName name="_xlnm._FilterDatabase" localSheetId="2" hidden="1">'Good Data'!$A$1:$AG$22</definedName>
  </definedNames>
  <calcPr calcId="145621"/>
</workbook>
</file>

<file path=xl/calcChain.xml><?xml version="1.0" encoding="utf-8"?>
<calcChain xmlns="http://schemas.openxmlformats.org/spreadsheetml/2006/main">
  <c r="C3" i="13" l="1"/>
  <c r="D3" i="13"/>
  <c r="E3" i="13"/>
  <c r="F3" i="13"/>
  <c r="G3" i="13"/>
  <c r="H3" i="13"/>
  <c r="I3" i="13"/>
  <c r="J3" i="13"/>
  <c r="K3" i="13"/>
  <c r="L3" i="13"/>
  <c r="M3" i="13"/>
  <c r="N3" i="13"/>
  <c r="O3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D2" i="13"/>
  <c r="E2" i="13"/>
  <c r="F2" i="13"/>
  <c r="G2" i="13"/>
  <c r="H2" i="13"/>
  <c r="I2" i="13"/>
  <c r="J2" i="13"/>
  <c r="K2" i="13"/>
  <c r="L2" i="13"/>
  <c r="M2" i="13"/>
  <c r="N2" i="13"/>
  <c r="O2" i="13"/>
  <c r="C2" i="13"/>
  <c r="B2" i="13"/>
  <c r="B3" i="13"/>
  <c r="B4" i="13"/>
  <c r="B5" i="13"/>
  <c r="B6" i="13"/>
  <c r="B7" i="13"/>
  <c r="B8" i="13"/>
  <c r="B9" i="13"/>
  <c r="B10" i="13"/>
  <c r="B11" i="13"/>
  <c r="J94" i="3" l="1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I2" i="3" l="1"/>
  <c r="I3" i="3" s="1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" i="3"/>
</calcChain>
</file>

<file path=xl/sharedStrings.xml><?xml version="1.0" encoding="utf-8"?>
<sst xmlns="http://schemas.openxmlformats.org/spreadsheetml/2006/main" count="238" uniqueCount="57">
  <si>
    <t>Check</t>
  </si>
  <si>
    <t>L1, L2, L3, L4, L5, L6, L7, L8, L9, L10, L11, L12, L13, L14, L15, L16, L17, L18, L19, L20, L21, L22, L23, L24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</si>
  <si>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</si>
  <si>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</si>
  <si>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</si>
  <si>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</si>
  <si>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</si>
  <si>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</si>
  <si>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</si>
  <si>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</si>
  <si>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04-19246</t>
  </si>
  <si>
    <t>HMA Thin Overlay</t>
  </si>
  <si>
    <t>SON</t>
  </si>
  <si>
    <t>001</t>
  </si>
  <si>
    <t>04-18973</t>
  </si>
  <si>
    <t>04-19289</t>
  </si>
  <si>
    <t>04-1R110</t>
  </si>
  <si>
    <t>Chip Seal</t>
  </si>
  <si>
    <t>04-0C340</t>
  </si>
  <si>
    <t>HMA Medium Overlay</t>
  </si>
  <si>
    <t>04-1R610</t>
  </si>
  <si>
    <t>04-0C490</t>
  </si>
  <si>
    <t>HMA Thick Overlay</t>
  </si>
  <si>
    <t>04-0C350</t>
  </si>
  <si>
    <t>04-2R220</t>
  </si>
  <si>
    <t>Digouts</t>
  </si>
  <si>
    <t>04-0E300</t>
  </si>
  <si>
    <t>04-0E350</t>
  </si>
  <si>
    <t>04-1E220</t>
  </si>
  <si>
    <t>04-2A630</t>
  </si>
  <si>
    <t>04-1E730</t>
  </si>
  <si>
    <t>04-2E530</t>
  </si>
  <si>
    <t/>
  </si>
  <si>
    <t>L1</t>
  </si>
  <si>
    <t xml:space="preserve"> L2</t>
  </si>
  <si>
    <t xml:space="preserve"> L3</t>
  </si>
  <si>
    <t xml:space="preserve"> L4</t>
  </si>
  <si>
    <t xml:space="preserve"> L5</t>
  </si>
  <si>
    <t xml:space="preserve"> L6</t>
  </si>
  <si>
    <t xml:space="preserve"> L7</t>
  </si>
  <si>
    <t xml:space="preserve"> L8</t>
  </si>
  <si>
    <t xml:space="preserve"> L9</t>
  </si>
  <si>
    <t xml:space="preserve"> L10</t>
  </si>
  <si>
    <t xml:space="preserve"> L11</t>
  </si>
  <si>
    <t xml:space="preserve"> L12</t>
  </si>
  <si>
    <t xml:space="preserve"> L13</t>
  </si>
  <si>
    <t xml:space="preserve"> L14</t>
  </si>
  <si>
    <t xml:space="preserve"> L15</t>
  </si>
  <si>
    <t xml:space="preserve"> L16</t>
  </si>
  <si>
    <t xml:space="preserve"> L17</t>
  </si>
  <si>
    <t xml:space="preserve"> L18</t>
  </si>
  <si>
    <t xml:space="preserve"> L19</t>
  </si>
  <si>
    <t xml:space="preserve"> L20</t>
  </si>
  <si>
    <t xml:space="preserve"> L21</t>
  </si>
  <si>
    <t xml:space="preserve"> L22</t>
  </si>
  <si>
    <t xml:space="preserve"> L23</t>
  </si>
  <si>
    <t xml:space="preserve"> 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</si>
</sst>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6"/>
  <sheetViews>
    <sheetView tabSelected="1" workbookViewId="0">
      <selection activeCell="G29" sqref="G29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1" spans="1:8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8">
      <c r="A2" t="s">
        <v>10</v>
      </c>
      <c r="B2" t="s">
        <v>11</v>
      </c>
      <c r="C2" t="s">
        <v>12</v>
      </c>
      <c r="D2" t="s">
        <v>13</v>
      </c>
      <c r="E2" s="1">
        <v>1992</v>
      </c>
      <c r="F2" s="1">
        <v>10</v>
      </c>
      <c r="G2" s="1">
        <v>11.07</v>
      </c>
      <c r="H2" s="1">
        <v>1.07</v>
      </c>
    </row>
    <row r="3" spans="1:8">
      <c r="A3" t="s">
        <v>14</v>
      </c>
      <c r="B3" t="s">
        <v>11</v>
      </c>
      <c r="C3" t="s">
        <v>12</v>
      </c>
      <c r="D3" t="s">
        <v>13</v>
      </c>
      <c r="E3" s="1">
        <v>1992</v>
      </c>
      <c r="F3" s="1">
        <v>50.6</v>
      </c>
      <c r="G3" s="1">
        <v>58.582999999999998</v>
      </c>
      <c r="H3" s="1">
        <v>7.9829999999999997</v>
      </c>
    </row>
    <row r="4" spans="1:8">
      <c r="A4" t="s">
        <v>15</v>
      </c>
      <c r="B4" t="s">
        <v>11</v>
      </c>
      <c r="C4" t="s">
        <v>12</v>
      </c>
      <c r="D4" t="s">
        <v>13</v>
      </c>
      <c r="E4" s="1">
        <v>1993</v>
      </c>
      <c r="F4" s="1">
        <v>24.524000000000001</v>
      </c>
      <c r="G4" s="1">
        <v>26.3</v>
      </c>
      <c r="H4" s="1">
        <v>1.776</v>
      </c>
    </row>
    <row r="5" spans="1:8">
      <c r="A5" t="s">
        <v>16</v>
      </c>
      <c r="B5" t="s">
        <v>17</v>
      </c>
      <c r="C5" t="s">
        <v>12</v>
      </c>
      <c r="D5" t="s">
        <v>13</v>
      </c>
      <c r="E5" s="1">
        <v>2000</v>
      </c>
      <c r="F5" s="1">
        <v>50.6</v>
      </c>
      <c r="G5" s="1">
        <v>58.582999999999998</v>
      </c>
      <c r="H5" s="1">
        <v>7.9829999999999997</v>
      </c>
    </row>
    <row r="6" spans="1:8">
      <c r="A6" t="s">
        <v>18</v>
      </c>
      <c r="B6" t="s">
        <v>19</v>
      </c>
      <c r="C6" t="s">
        <v>12</v>
      </c>
      <c r="D6" t="s">
        <v>13</v>
      </c>
      <c r="E6" s="1">
        <v>2001</v>
      </c>
      <c r="F6" s="1">
        <v>0</v>
      </c>
      <c r="G6" s="1">
        <v>8.1999999999999993</v>
      </c>
      <c r="H6" s="1">
        <v>8.1999999999999993</v>
      </c>
    </row>
    <row r="7" spans="1:8">
      <c r="A7" t="s">
        <v>20</v>
      </c>
      <c r="B7" t="s">
        <v>11</v>
      </c>
      <c r="C7" t="s">
        <v>12</v>
      </c>
      <c r="D7" t="s">
        <v>13</v>
      </c>
      <c r="E7" s="1">
        <v>2001</v>
      </c>
      <c r="F7" s="1">
        <v>8.1999999999999993</v>
      </c>
      <c r="G7" s="1">
        <v>12.486000000000001</v>
      </c>
      <c r="H7" s="1">
        <v>4.2859999999999996</v>
      </c>
    </row>
    <row r="8" spans="1:8">
      <c r="A8" t="s">
        <v>21</v>
      </c>
      <c r="B8" t="s">
        <v>22</v>
      </c>
      <c r="C8" t="s">
        <v>12</v>
      </c>
      <c r="D8" t="s">
        <v>13</v>
      </c>
      <c r="E8" s="1">
        <v>2001</v>
      </c>
      <c r="F8" s="1">
        <v>35.5</v>
      </c>
      <c r="G8" s="1">
        <v>39.5</v>
      </c>
      <c r="H8" s="1">
        <v>4</v>
      </c>
    </row>
    <row r="9" spans="1:8">
      <c r="A9" t="s">
        <v>21</v>
      </c>
      <c r="B9" t="s">
        <v>22</v>
      </c>
      <c r="C9" t="s">
        <v>12</v>
      </c>
      <c r="D9" t="s">
        <v>13</v>
      </c>
      <c r="E9" s="1">
        <v>2001</v>
      </c>
      <c r="F9" s="1">
        <v>39.5</v>
      </c>
      <c r="G9" s="1">
        <v>42</v>
      </c>
      <c r="H9" s="1">
        <v>2.5</v>
      </c>
    </row>
    <row r="10" spans="1:8">
      <c r="A10" t="s">
        <v>21</v>
      </c>
      <c r="B10" t="s">
        <v>22</v>
      </c>
      <c r="C10" t="s">
        <v>12</v>
      </c>
      <c r="D10" t="s">
        <v>13</v>
      </c>
      <c r="E10" s="1">
        <v>2001</v>
      </c>
      <c r="F10" s="1">
        <v>42</v>
      </c>
      <c r="G10" s="1">
        <v>43</v>
      </c>
      <c r="H10" s="1">
        <v>1</v>
      </c>
    </row>
    <row r="11" spans="1:8">
      <c r="A11" t="s">
        <v>21</v>
      </c>
      <c r="B11" t="s">
        <v>19</v>
      </c>
      <c r="C11" t="s">
        <v>12</v>
      </c>
      <c r="D11" t="s">
        <v>13</v>
      </c>
      <c r="E11" s="1">
        <v>2001</v>
      </c>
      <c r="F11" s="1">
        <v>43</v>
      </c>
      <c r="G11" s="1">
        <v>48</v>
      </c>
      <c r="H11" s="1">
        <v>5</v>
      </c>
    </row>
    <row r="12" spans="1:8">
      <c r="A12" t="s">
        <v>21</v>
      </c>
      <c r="B12" t="s">
        <v>22</v>
      </c>
      <c r="C12" t="s">
        <v>12</v>
      </c>
      <c r="D12" t="s">
        <v>13</v>
      </c>
      <c r="E12" s="1">
        <v>2001</v>
      </c>
      <c r="F12" s="1">
        <v>48</v>
      </c>
      <c r="G12" s="1">
        <v>50.6</v>
      </c>
      <c r="H12" s="1">
        <v>2.6</v>
      </c>
    </row>
    <row r="13" spans="1:8">
      <c r="A13" t="s">
        <v>23</v>
      </c>
      <c r="B13" t="s">
        <v>19</v>
      </c>
      <c r="C13" t="s">
        <v>12</v>
      </c>
      <c r="D13" t="s">
        <v>13</v>
      </c>
      <c r="E13" s="1">
        <v>2004</v>
      </c>
      <c r="F13" s="1">
        <v>16.100000000000001</v>
      </c>
      <c r="G13" s="1">
        <v>19.715</v>
      </c>
      <c r="H13" s="1">
        <v>3.6150000000000002</v>
      </c>
    </row>
    <row r="14" spans="1:8">
      <c r="A14" t="s">
        <v>24</v>
      </c>
      <c r="B14" t="s">
        <v>25</v>
      </c>
      <c r="C14" t="s">
        <v>12</v>
      </c>
      <c r="D14" t="s">
        <v>13</v>
      </c>
      <c r="E14" s="1">
        <v>2005</v>
      </c>
      <c r="F14" s="1">
        <v>19.885000000000002</v>
      </c>
      <c r="G14" s="1">
        <v>25</v>
      </c>
      <c r="H14" s="1">
        <v>5.1150000000000002</v>
      </c>
    </row>
    <row r="15" spans="1:8">
      <c r="A15" t="s">
        <v>26</v>
      </c>
      <c r="B15" t="s">
        <v>25</v>
      </c>
      <c r="C15" t="s">
        <v>12</v>
      </c>
      <c r="D15" t="s">
        <v>13</v>
      </c>
      <c r="E15" s="1">
        <v>2006</v>
      </c>
      <c r="F15" s="1">
        <v>50.6</v>
      </c>
      <c r="G15" s="1">
        <v>58.582999999999998</v>
      </c>
      <c r="H15" s="1">
        <v>7.9829999999999997</v>
      </c>
    </row>
    <row r="16" spans="1:8">
      <c r="A16" t="s">
        <v>27</v>
      </c>
      <c r="B16" t="s">
        <v>11</v>
      </c>
      <c r="C16" t="s">
        <v>12</v>
      </c>
      <c r="D16" t="s">
        <v>13</v>
      </c>
      <c r="E16" s="1">
        <v>2009</v>
      </c>
      <c r="F16" s="1">
        <v>19.885000000000002</v>
      </c>
      <c r="G16" s="1">
        <v>24.504000000000001</v>
      </c>
      <c r="H16" s="1">
        <v>4.6189999999999998</v>
      </c>
    </row>
    <row r="17" spans="1:8">
      <c r="A17" t="s">
        <v>28</v>
      </c>
      <c r="B17" t="s">
        <v>25</v>
      </c>
      <c r="C17" t="s">
        <v>12</v>
      </c>
      <c r="D17" t="s">
        <v>13</v>
      </c>
      <c r="E17" s="1">
        <v>2009</v>
      </c>
      <c r="F17" s="1">
        <v>50.6</v>
      </c>
      <c r="G17" s="1">
        <v>58.582999999999998</v>
      </c>
      <c r="H17" s="1">
        <v>7.9829999999999997</v>
      </c>
    </row>
    <row r="18" spans="1:8">
      <c r="A18" t="s">
        <v>29</v>
      </c>
      <c r="B18" t="s">
        <v>19</v>
      </c>
      <c r="C18" t="s">
        <v>12</v>
      </c>
      <c r="D18" t="s">
        <v>13</v>
      </c>
      <c r="E18" s="1">
        <v>2010</v>
      </c>
      <c r="F18" s="1">
        <v>16.2</v>
      </c>
      <c r="G18" s="1">
        <v>16.3</v>
      </c>
      <c r="H18" s="1">
        <v>0.1</v>
      </c>
    </row>
    <row r="19" spans="1:8">
      <c r="A19" t="s">
        <v>29</v>
      </c>
      <c r="B19" t="s">
        <v>19</v>
      </c>
      <c r="C19" t="s">
        <v>12</v>
      </c>
      <c r="D19" t="s">
        <v>13</v>
      </c>
      <c r="E19" s="1">
        <v>2010</v>
      </c>
      <c r="F19" s="1">
        <v>16.3</v>
      </c>
      <c r="G19" s="1">
        <v>16.399999999999999</v>
      </c>
      <c r="H19" s="1">
        <v>0.1</v>
      </c>
    </row>
    <row r="20" spans="1:8">
      <c r="A20" t="s">
        <v>30</v>
      </c>
      <c r="B20" t="s">
        <v>11</v>
      </c>
      <c r="C20" t="s">
        <v>12</v>
      </c>
      <c r="D20" t="s">
        <v>13</v>
      </c>
      <c r="E20" s="1">
        <v>2010</v>
      </c>
      <c r="F20" s="1">
        <v>50.6</v>
      </c>
      <c r="G20" s="1">
        <v>58.582999999999998</v>
      </c>
      <c r="H20" s="1">
        <v>7.9829999999999997</v>
      </c>
    </row>
    <row r="21" spans="1:8">
      <c r="A21" t="s">
        <v>31</v>
      </c>
      <c r="B21" t="s">
        <v>25</v>
      </c>
      <c r="C21" t="s">
        <v>12</v>
      </c>
      <c r="D21" t="s">
        <v>13</v>
      </c>
      <c r="E21" s="1">
        <v>2012</v>
      </c>
      <c r="F21" s="1">
        <v>30.5</v>
      </c>
      <c r="G21" s="1">
        <v>35.5</v>
      </c>
      <c r="H21" s="1">
        <v>5</v>
      </c>
    </row>
    <row r="22" spans="1:8">
      <c r="A22" t="s">
        <v>31</v>
      </c>
      <c r="B22" t="s">
        <v>11</v>
      </c>
      <c r="C22" t="s">
        <v>12</v>
      </c>
      <c r="D22" t="s">
        <v>13</v>
      </c>
      <c r="E22" s="1">
        <v>2012</v>
      </c>
      <c r="F22" s="1">
        <v>30.5</v>
      </c>
      <c r="G22" s="1">
        <v>50.6</v>
      </c>
      <c r="H22" s="1">
        <v>20.100000000000001</v>
      </c>
    </row>
    <row r="23" spans="1:8">
      <c r="E23" s="1"/>
      <c r="F23" s="1"/>
      <c r="G23" s="1"/>
      <c r="H23" s="1"/>
    </row>
    <row r="24" spans="1:8">
      <c r="E24" s="1"/>
      <c r="F24" s="1"/>
      <c r="G24" s="1"/>
      <c r="H24" s="1"/>
    </row>
    <row r="25" spans="1:8">
      <c r="E25" s="1"/>
      <c r="F25" s="1"/>
      <c r="G25" s="1"/>
      <c r="H25" s="1"/>
    </row>
    <row r="26" spans="1:8">
      <c r="E26" s="1"/>
      <c r="F26" s="1"/>
      <c r="G26" s="1"/>
      <c r="H26" s="1"/>
    </row>
    <row r="27" spans="1:8">
      <c r="E27" s="1"/>
      <c r="F27" s="1"/>
      <c r="G27" s="1"/>
      <c r="H27" s="1"/>
    </row>
    <row r="28" spans="1:8">
      <c r="E28" s="1"/>
      <c r="F28" s="1"/>
      <c r="G28" s="1"/>
      <c r="H28" s="1"/>
    </row>
    <row r="29" spans="1:8">
      <c r="E29" s="1"/>
      <c r="F29" s="1"/>
      <c r="G29" s="1"/>
      <c r="H29" s="1"/>
    </row>
    <row r="30" spans="1:8">
      <c r="E30" s="1"/>
      <c r="F30" s="1"/>
      <c r="G30" s="1"/>
      <c r="H30" s="1"/>
    </row>
    <row r="31" spans="1:8">
      <c r="E31" s="1"/>
      <c r="F31" s="1"/>
      <c r="G31" s="1"/>
      <c r="H31" s="1"/>
    </row>
    <row r="32" spans="1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88"/>
  <sheetViews>
    <sheetView zoomScale="115" zoomScaleNormal="115" workbookViewId="0">
      <selection activeCell="D28" sqref="D28"/>
    </sheetView>
  </sheetViews>
  <sheetFormatPr defaultRowHeight="15"/>
  <cols>
    <col min="9" max="9" width="134.5703125" customWidth="1"/>
  </cols>
  <sheetData>
    <row r="1" spans="1:10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</v>
      </c>
      <c r="J1" t="s">
        <v>0</v>
      </c>
    </row>
    <row r="2" spans="1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, </v>
      </c>
      <c r="J2" t="str">
        <f t="shared" ref="J2:J65" si="1">IF(E3&lt;&gt;E2,"last", "")</f>
        <v/>
      </c>
    </row>
    <row r="3" spans="1:10">
      <c r="E3" s="1"/>
      <c r="F3" s="1"/>
      <c r="G3" s="1"/>
      <c r="H3" s="1"/>
      <c r="I3" t="str">
        <f t="shared" si="0"/>
        <v xml:space="preserve">, , 0, </v>
      </c>
      <c r="J3" t="str">
        <f t="shared" si="1"/>
        <v/>
      </c>
    </row>
    <row r="4" spans="1:10">
      <c r="E4" s="1"/>
      <c r="F4" s="1"/>
      <c r="G4" s="1"/>
      <c r="H4" s="1"/>
      <c r="I4" t="str">
        <f t="shared" si="0"/>
        <v xml:space="preserve">, , 0, , 0, </v>
      </c>
      <c r="J4" t="str">
        <f t="shared" si="1"/>
        <v/>
      </c>
    </row>
    <row r="5" spans="1:10">
      <c r="E5" s="1"/>
      <c r="F5" s="1"/>
      <c r="G5" s="1"/>
      <c r="H5" s="1"/>
      <c r="I5" t="str">
        <f t="shared" si="0"/>
        <v xml:space="preserve">, , 0, , 0, , 0, </v>
      </c>
      <c r="J5" t="str">
        <f t="shared" si="1"/>
        <v/>
      </c>
    </row>
    <row r="6" spans="1:10">
      <c r="E6" s="1"/>
      <c r="F6" s="1"/>
      <c r="G6" s="1"/>
      <c r="H6" s="1"/>
      <c r="I6" t="str">
        <f t="shared" si="0"/>
        <v xml:space="preserve">, , 0, , 0, , 0, , 0, </v>
      </c>
      <c r="J6" t="str">
        <f t="shared" si="1"/>
        <v/>
      </c>
    </row>
    <row r="7" spans="1:10">
      <c r="E7" s="1"/>
      <c r="F7" s="1"/>
      <c r="G7" s="1"/>
      <c r="H7" s="1"/>
      <c r="I7" t="str">
        <f t="shared" si="0"/>
        <v xml:space="preserve">, , 0, , 0, , 0, , 0, , 0, </v>
      </c>
      <c r="J7" t="str">
        <f t="shared" si="1"/>
        <v/>
      </c>
    </row>
    <row r="8" spans="1:10">
      <c r="E8" s="1"/>
      <c r="F8" s="1"/>
      <c r="G8" s="1"/>
      <c r="H8" s="1"/>
      <c r="I8" t="str">
        <f t="shared" si="0"/>
        <v xml:space="preserve">, , 0, , 0, , 0, , 0, , 0, , 0, </v>
      </c>
      <c r="J8" t="str">
        <f t="shared" si="1"/>
        <v/>
      </c>
    </row>
    <row r="9" spans="1:10">
      <c r="E9" s="1"/>
      <c r="F9" s="1"/>
      <c r="G9" s="1"/>
      <c r="H9" s="1"/>
      <c r="I9" t="str">
        <f t="shared" si="0"/>
        <v xml:space="preserve">, , 0, , 0, , 0, , 0, , 0, , 0, , 0, </v>
      </c>
      <c r="J9" t="str">
        <f t="shared" si="1"/>
        <v/>
      </c>
    </row>
    <row r="10" spans="1:10">
      <c r="E10" s="1"/>
      <c r="F10" s="1"/>
      <c r="G10" s="1"/>
      <c r="H10" s="1"/>
      <c r="I10" t="str">
        <f t="shared" si="0"/>
        <v xml:space="preserve">, , 0, , 0, , 0, , 0, , 0, , 0, , 0, , 0, </v>
      </c>
      <c r="J10" t="str">
        <f t="shared" si="1"/>
        <v/>
      </c>
    </row>
    <row r="11" spans="1:10">
      <c r="E11" s="1"/>
      <c r="F11" s="1"/>
      <c r="G11" s="1"/>
      <c r="H11" s="1"/>
      <c r="I11" t="str">
        <f t="shared" si="0"/>
        <v xml:space="preserve">, , 0, , 0, , 0, , 0, , 0, , 0, , 0, , 0, , 0, </v>
      </c>
      <c r="J11" t="str">
        <f t="shared" si="1"/>
        <v/>
      </c>
    </row>
    <row r="12" spans="1:10">
      <c r="E12" s="1"/>
      <c r="F12" s="1"/>
      <c r="G12" s="1"/>
      <c r="H12" s="1"/>
      <c r="I12" t="str">
        <f t="shared" si="0"/>
        <v xml:space="preserve">, , 0, , 0, , 0, , 0, , 0, , 0, , 0, , 0, , 0, , 0, </v>
      </c>
      <c r="J12" t="str">
        <f t="shared" si="1"/>
        <v/>
      </c>
    </row>
    <row r="13" spans="1:10">
      <c r="E13" s="1"/>
      <c r="F13" s="1"/>
      <c r="G13" s="1"/>
      <c r="H13" s="1"/>
      <c r="I13" t="str">
        <f t="shared" si="0"/>
        <v xml:space="preserve">, , 0, , 0, , 0, , 0, , 0, , 0, , 0, , 0, , 0, , 0, , 0, </v>
      </c>
      <c r="J13" t="str">
        <f t="shared" si="1"/>
        <v/>
      </c>
    </row>
    <row r="14" spans="1:10">
      <c r="E14" s="1"/>
      <c r="F14" s="1"/>
      <c r="G14" s="1"/>
      <c r="H14" s="1"/>
      <c r="I14" t="str">
        <f t="shared" si="0"/>
        <v xml:space="preserve">, , 0, , 0, , 0, , 0, , 0, , 0, , 0, , 0, , 0, , 0, , 0, , 0, </v>
      </c>
      <c r="J14" t="str">
        <f t="shared" si="1"/>
        <v/>
      </c>
    </row>
    <row r="15" spans="1:10">
      <c r="E15" s="1"/>
      <c r="F15" s="1"/>
      <c r="G15" s="1"/>
      <c r="H15" s="1"/>
      <c r="I15" t="str">
        <f t="shared" si="0"/>
        <v xml:space="preserve">, , 0, , 0, , 0, , 0, , 0, , 0, , 0, , 0, , 0, , 0, , 0, , 0, , 0, </v>
      </c>
      <c r="J15" t="str">
        <f t="shared" si="1"/>
        <v/>
      </c>
    </row>
    <row r="16" spans="1:10">
      <c r="E16" s="1"/>
      <c r="F16" s="1"/>
      <c r="G16" s="1"/>
      <c r="H16" s="1"/>
      <c r="I16" t="str">
        <f t="shared" si="0"/>
        <v xml:space="preserve">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G31"/>
  <sheetViews>
    <sheetView zoomScaleNormal="100" workbookViewId="0">
      <selection activeCell="E44" sqref="E44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bestFit="1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1" spans="1:33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0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  <c r="V1" t="s">
        <v>45</v>
      </c>
      <c r="W1" t="s">
        <v>46</v>
      </c>
      <c r="X1" t="s">
        <v>47</v>
      </c>
      <c r="Y1" t="s">
        <v>48</v>
      </c>
      <c r="Z1" t="s">
        <v>49</v>
      </c>
      <c r="AA1" t="s">
        <v>50</v>
      </c>
      <c r="AB1" t="s">
        <v>51</v>
      </c>
      <c r="AC1" t="s">
        <v>52</v>
      </c>
      <c r="AD1" t="s">
        <v>53</v>
      </c>
      <c r="AE1" t="s">
        <v>54</v>
      </c>
      <c r="AF1" t="s">
        <v>55</v>
      </c>
      <c r="AG1" t="s">
        <v>56</v>
      </c>
    </row>
    <row r="2" spans="1:33" hidden="1">
      <c r="A2" t="s">
        <v>10</v>
      </c>
      <c r="B2" t="s">
        <v>11</v>
      </c>
      <c r="C2" t="s">
        <v>12</v>
      </c>
      <c r="D2" t="s">
        <v>13</v>
      </c>
      <c r="E2">
        <v>1992</v>
      </c>
      <c r="F2">
        <v>10</v>
      </c>
      <c r="G2">
        <v>11.07</v>
      </c>
      <c r="H2">
        <v>1.07</v>
      </c>
      <c r="I2" t="s">
        <v>32</v>
      </c>
      <c r="J2">
        <v>10</v>
      </c>
      <c r="K2">
        <v>1.07</v>
      </c>
    </row>
    <row r="6" spans="1:33" hidden="1">
      <c r="A6" t="s">
        <v>18</v>
      </c>
      <c r="B6" t="s">
        <v>19</v>
      </c>
      <c r="C6" t="s">
        <v>12</v>
      </c>
      <c r="D6" t="s">
        <v>13</v>
      </c>
      <c r="E6">
        <v>2001</v>
      </c>
      <c r="F6">
        <v>0</v>
      </c>
      <c r="G6">
        <v>8.1999999999999993</v>
      </c>
      <c r="H6">
        <v>8.1999999999999993</v>
      </c>
      <c r="I6" t="s">
        <v>32</v>
      </c>
      <c r="J6">
        <v>0</v>
      </c>
      <c r="K6">
        <v>8.1999999999999993</v>
      </c>
    </row>
    <row r="7" spans="1:33" hidden="1">
      <c r="A7" t="s">
        <v>20</v>
      </c>
      <c r="B7" t="s">
        <v>11</v>
      </c>
      <c r="C7" t="s">
        <v>12</v>
      </c>
      <c r="D7" t="s">
        <v>13</v>
      </c>
      <c r="E7">
        <v>2001</v>
      </c>
      <c r="F7">
        <v>8.1999999999999993</v>
      </c>
      <c r="G7">
        <v>12.486000000000001</v>
      </c>
      <c r="H7">
        <v>4.2859999999999996</v>
      </c>
      <c r="I7" t="s">
        <v>32</v>
      </c>
      <c r="J7">
        <v>0</v>
      </c>
      <c r="K7">
        <v>8.1999999999999993</v>
      </c>
      <c r="L7">
        <v>0</v>
      </c>
      <c r="M7">
        <v>4.2859999999999996</v>
      </c>
    </row>
    <row r="8" spans="1:33" hidden="1">
      <c r="A8" t="s">
        <v>21</v>
      </c>
      <c r="B8" t="s">
        <v>22</v>
      </c>
      <c r="C8" t="s">
        <v>12</v>
      </c>
      <c r="D8" t="s">
        <v>13</v>
      </c>
      <c r="E8">
        <v>2001</v>
      </c>
      <c r="F8">
        <v>35.5</v>
      </c>
      <c r="G8">
        <v>39.5</v>
      </c>
      <c r="H8">
        <v>4</v>
      </c>
      <c r="I8" t="s">
        <v>32</v>
      </c>
      <c r="J8">
        <v>0</v>
      </c>
      <c r="K8">
        <v>8.1999999999999993</v>
      </c>
      <c r="L8">
        <v>0</v>
      </c>
      <c r="M8">
        <v>4.2859999999999996</v>
      </c>
      <c r="N8">
        <v>23.013999999999999</v>
      </c>
      <c r="O8">
        <v>4</v>
      </c>
    </row>
    <row r="9" spans="1:33" hidden="1">
      <c r="A9" t="s">
        <v>21</v>
      </c>
      <c r="B9" t="s">
        <v>22</v>
      </c>
      <c r="C9" t="s">
        <v>12</v>
      </c>
      <c r="D9" t="s">
        <v>13</v>
      </c>
      <c r="E9">
        <v>2001</v>
      </c>
      <c r="F9">
        <v>39.5</v>
      </c>
      <c r="G9">
        <v>42</v>
      </c>
      <c r="H9">
        <v>2.5</v>
      </c>
      <c r="I9" t="s">
        <v>32</v>
      </c>
      <c r="J9">
        <v>0</v>
      </c>
      <c r="K9">
        <v>8.1999999999999993</v>
      </c>
      <c r="L9">
        <v>0</v>
      </c>
      <c r="M9">
        <v>4.2859999999999996</v>
      </c>
      <c r="N9">
        <v>23.013999999999999</v>
      </c>
      <c r="O9" s="2">
        <v>4</v>
      </c>
      <c r="P9">
        <v>0</v>
      </c>
      <c r="Q9">
        <v>2.5</v>
      </c>
    </row>
    <row r="10" spans="1:33" hidden="1">
      <c r="A10" t="s">
        <v>21</v>
      </c>
      <c r="B10" t="s">
        <v>22</v>
      </c>
      <c r="C10" t="s">
        <v>12</v>
      </c>
      <c r="D10" t="s">
        <v>13</v>
      </c>
      <c r="E10">
        <v>2001</v>
      </c>
      <c r="F10">
        <v>42</v>
      </c>
      <c r="G10">
        <v>43</v>
      </c>
      <c r="H10">
        <v>1</v>
      </c>
      <c r="I10" t="s">
        <v>32</v>
      </c>
      <c r="J10">
        <v>0</v>
      </c>
      <c r="K10">
        <v>8.1999999999999993</v>
      </c>
      <c r="L10">
        <v>0</v>
      </c>
      <c r="M10">
        <v>4.2859999999999996</v>
      </c>
      <c r="N10">
        <v>23.013999999999999</v>
      </c>
      <c r="O10">
        <v>4</v>
      </c>
      <c r="P10">
        <v>0</v>
      </c>
      <c r="Q10">
        <v>2.5</v>
      </c>
      <c r="R10">
        <v>0</v>
      </c>
      <c r="S10">
        <v>1</v>
      </c>
    </row>
    <row r="11" spans="1:33" hidden="1">
      <c r="A11" t="s">
        <v>21</v>
      </c>
      <c r="B11" t="s">
        <v>19</v>
      </c>
      <c r="C11" t="s">
        <v>12</v>
      </c>
      <c r="D11" t="s">
        <v>13</v>
      </c>
      <c r="E11">
        <v>2001</v>
      </c>
      <c r="F11">
        <v>43</v>
      </c>
      <c r="G11">
        <v>48</v>
      </c>
      <c r="H11">
        <v>5</v>
      </c>
      <c r="I11" t="s">
        <v>32</v>
      </c>
      <c r="J11">
        <v>0</v>
      </c>
      <c r="K11">
        <v>8.1999999999999993</v>
      </c>
      <c r="L11">
        <v>0</v>
      </c>
      <c r="M11">
        <v>4.2859999999999996</v>
      </c>
      <c r="N11">
        <v>23.013999999999999</v>
      </c>
      <c r="O11">
        <v>4</v>
      </c>
      <c r="P11">
        <v>0</v>
      </c>
      <c r="Q11">
        <v>2.5</v>
      </c>
      <c r="R11">
        <v>0</v>
      </c>
      <c r="S11">
        <v>1</v>
      </c>
      <c r="T11">
        <v>0</v>
      </c>
      <c r="U11">
        <v>5</v>
      </c>
    </row>
    <row r="16" spans="1:33" hidden="1">
      <c r="A16" t="s">
        <v>27</v>
      </c>
      <c r="B16" t="s">
        <v>11</v>
      </c>
      <c r="C16" t="s">
        <v>12</v>
      </c>
      <c r="D16" t="s">
        <v>13</v>
      </c>
      <c r="E16">
        <v>2009</v>
      </c>
      <c r="F16">
        <v>19.885000000000002</v>
      </c>
      <c r="G16">
        <v>24.504000000000001</v>
      </c>
      <c r="H16">
        <v>4.6189999999999998</v>
      </c>
      <c r="I16" t="s">
        <v>32</v>
      </c>
      <c r="J16">
        <v>19.885000000000002</v>
      </c>
      <c r="K16">
        <v>4.6189999999999998</v>
      </c>
    </row>
    <row r="18" spans="1:21" hidden="1">
      <c r="A18" t="s">
        <v>29</v>
      </c>
      <c r="B18" t="s">
        <v>19</v>
      </c>
      <c r="C18" t="s">
        <v>12</v>
      </c>
      <c r="D18" t="s">
        <v>13</v>
      </c>
      <c r="E18">
        <v>2010</v>
      </c>
      <c r="F18">
        <v>16.2</v>
      </c>
      <c r="G18">
        <v>16.3</v>
      </c>
      <c r="H18">
        <v>0.1</v>
      </c>
      <c r="I18" t="s">
        <v>32</v>
      </c>
      <c r="J18">
        <v>16.2</v>
      </c>
      <c r="K18">
        <v>0.1</v>
      </c>
    </row>
    <row r="19" spans="1:21" hidden="1">
      <c r="A19" t="s">
        <v>29</v>
      </c>
      <c r="B19" t="s">
        <v>19</v>
      </c>
      <c r="C19" t="s">
        <v>12</v>
      </c>
      <c r="D19" t="s">
        <v>13</v>
      </c>
      <c r="E19">
        <v>2010</v>
      </c>
      <c r="F19">
        <v>16.3</v>
      </c>
      <c r="G19">
        <v>16.399999999999999</v>
      </c>
      <c r="H19">
        <v>0.1</v>
      </c>
      <c r="I19" t="s">
        <v>32</v>
      </c>
      <c r="J19">
        <v>16.2</v>
      </c>
      <c r="K19">
        <v>0.1</v>
      </c>
      <c r="L19">
        <v>0</v>
      </c>
      <c r="M19">
        <v>0.1</v>
      </c>
    </row>
    <row r="21" spans="1:21" hidden="1">
      <c r="A21" t="s">
        <v>31</v>
      </c>
      <c r="B21" t="s">
        <v>25</v>
      </c>
      <c r="C21" t="s">
        <v>12</v>
      </c>
      <c r="D21" t="s">
        <v>13</v>
      </c>
      <c r="E21">
        <v>2012</v>
      </c>
      <c r="F21">
        <v>30.5</v>
      </c>
      <c r="G21">
        <v>35.5</v>
      </c>
      <c r="H21">
        <v>5</v>
      </c>
      <c r="I21" t="s">
        <v>32</v>
      </c>
      <c r="J21">
        <v>30.5</v>
      </c>
      <c r="K21">
        <v>5</v>
      </c>
    </row>
    <row r="27" spans="1:21">
      <c r="Q27" s="2"/>
    </row>
    <row r="28" spans="1:21">
      <c r="Q28" s="2"/>
    </row>
    <row r="29" spans="1:21">
      <c r="Q29" s="2"/>
      <c r="U29" s="2"/>
    </row>
    <row r="30" spans="1:21">
      <c r="Q30" s="2"/>
      <c r="U30" s="2"/>
    </row>
    <row r="31" spans="1:21">
      <c r="Q31" s="2"/>
      <c r="U31" s="2"/>
    </row>
  </sheetData>
  <autoFilter ref="A1:AG22">
    <filterColumn colId="8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20"/>
  <sheetViews>
    <sheetView workbookViewId="0">
      <selection activeCell="A2" sqref="A2"/>
    </sheetView>
  </sheetViews>
  <sheetFormatPr defaultRowHeight="15"/>
  <sheetData>
    <row r="1" spans="2:25"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R1" t="s">
        <v>49</v>
      </c>
      <c r="S1" t="s">
        <v>50</v>
      </c>
      <c r="T1" t="s">
        <v>51</v>
      </c>
      <c r="U1" t="s">
        <v>52</v>
      </c>
      <c r="V1" t="s">
        <v>53</v>
      </c>
      <c r="W1" t="s">
        <v>54</v>
      </c>
      <c r="X1" t="s">
        <v>55</v>
      </c>
      <c r="Y1" t="s">
        <v>56</v>
      </c>
    </row>
    <row r="16" spans="2:25">
      <c r="I16" s="2"/>
    </row>
    <row r="17" spans="9:13">
      <c r="I17" s="2"/>
    </row>
    <row r="18" spans="9:13">
      <c r="I18" s="2"/>
      <c r="M18" s="2"/>
    </row>
    <row r="19" spans="9:13">
      <c r="I19" s="2"/>
      <c r="M19" s="2"/>
    </row>
    <row r="20" spans="9:13">
      <c r="I20" s="2"/>
      <c r="M2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1"/>
  <sheetViews>
    <sheetView zoomScaleNormal="100" workbookViewId="0">
      <selection activeCell="P2" sqref="P2"/>
    </sheetView>
  </sheetViews>
  <sheetFormatPr defaultRowHeight="15"/>
  <cols>
    <col min="1" max="1" width="5.5703125" bestFit="1" customWidth="1"/>
    <col min="2" max="2" width="14.7109375" bestFit="1" customWidth="1"/>
    <col min="3" max="3" width="16.28515625" bestFit="1" customWidth="1"/>
    <col min="4" max="4" width="15.140625" bestFit="1" customWidth="1"/>
    <col min="5" max="5" width="16.28515625" bestFit="1" customWidth="1"/>
    <col min="6" max="6" width="15.140625" bestFit="1" customWidth="1"/>
    <col min="7" max="7" width="11.140625" bestFit="1" customWidth="1"/>
    <col min="8" max="8" width="12.85546875" bestFit="1" customWidth="1"/>
    <col min="9" max="10" width="11.140625" bestFit="1" customWidth="1"/>
    <col min="11" max="13" width="12.28515625" bestFit="1" customWidth="1"/>
    <col min="14" max="14" width="14" bestFit="1" customWidth="1"/>
    <col min="15" max="15" width="11.140625" bestFit="1" customWidth="1"/>
    <col min="16" max="16" width="4.7109375" bestFit="1" customWidth="1"/>
    <col min="17" max="25" width="4.5703125" bestFit="1" customWidth="1"/>
  </cols>
  <sheetData>
    <row r="1" spans="1:25"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R1" t="s">
        <v>49</v>
      </c>
      <c r="S1" t="s">
        <v>50</v>
      </c>
      <c r="T1" t="s">
        <v>51</v>
      </c>
      <c r="U1" t="s">
        <v>52</v>
      </c>
      <c r="V1" t="s">
        <v>53</v>
      </c>
      <c r="W1" t="s">
        <v>54</v>
      </c>
      <c r="X1" t="s">
        <v>55</v>
      </c>
      <c r="Y1" t="s">
        <v>56</v>
      </c>
    </row>
    <row r="2" spans="1:25">
      <c r="A2">
        <v>1992</v>
      </c>
      <c r="B2">
        <f>IF(('Chart Data'!C2 = 0), 0, $A2&amp;", " &amp;B$1&amp;", " &amp;'Chart Data'!C2)</f>
        <v>0</v>
      </c>
      <c r="C2" t="str">
        <f>IF(('Chart Data'!D2 = 0), "", $A2&amp;", " &amp;C$1&amp;", " &amp;'Chart Data'!D2)</f>
        <v/>
      </c>
      <c r="D2" t="str">
        <f>IF(('Chart Data'!E2 = 0), "", $A2&amp;", " &amp;D$1&amp;", " &amp;'Chart Data'!E2)</f>
        <v/>
      </c>
      <c r="E2" t="str">
        <f>IF(('Chart Data'!F2 = 0), "", $A2&amp;", " &amp;E$1&amp;", " &amp;'Chart Data'!F2)</f>
        <v/>
      </c>
      <c r="F2" t="str">
        <f>IF(('Chart Data'!G2 = 0), "", $A2&amp;", " &amp;F$1&amp;", " &amp;'Chart Data'!G2)</f>
        <v/>
      </c>
      <c r="G2" t="str">
        <f>IF(('Chart Data'!H2 = 0), "", $A2&amp;", " &amp;G$1&amp;", " &amp;'Chart Data'!H2)</f>
        <v/>
      </c>
      <c r="H2" t="str">
        <f>IF(('Chart Data'!I2 = 0), "", $A2&amp;", " &amp;H$1&amp;", " &amp;'Chart Data'!I2)</f>
        <v/>
      </c>
      <c r="I2" t="str">
        <f>IF(('Chart Data'!J2 = 0), "", $A2&amp;", " &amp;I$1&amp;", " &amp;'Chart Data'!J2)</f>
        <v/>
      </c>
      <c r="J2" t="str">
        <f>IF(('Chart Data'!K2 = 0), "", $A2&amp;", " &amp;J$1&amp;", " &amp;'Chart Data'!K2)</f>
        <v/>
      </c>
      <c r="K2" t="str">
        <f>IF(('Chart Data'!L2 = 0), "", $A2&amp;", " &amp;K$1&amp;", " &amp;'Chart Data'!L2)</f>
        <v/>
      </c>
      <c r="L2" t="str">
        <f>IF(('Chart Data'!M2 = 0), "", $A2&amp;", " &amp;L$1&amp;", " &amp;'Chart Data'!M2)</f>
        <v/>
      </c>
      <c r="M2" t="str">
        <f>IF(('Chart Data'!N2 = 0), "", $A2&amp;", " &amp;M$1&amp;", " &amp;'Chart Data'!N2)</f>
        <v/>
      </c>
      <c r="N2" t="str">
        <f>IF(('Chart Data'!O2 = 0), "", $A2&amp;", " &amp;N$1&amp;", " &amp;'Chart Data'!O2)</f>
        <v/>
      </c>
      <c r="O2" t="str">
        <f>IF(('Chart Data'!P2 = 0), "", $A2&amp;", " &amp;O$1&amp;", " &amp;'Chart Data'!P2)</f>
        <v/>
      </c>
    </row>
    <row r="3" spans="1:25">
      <c r="A3">
        <v>1993</v>
      </c>
      <c r="B3" t="str">
        <f>$A3&amp;", " &amp;B$1&amp;", " &amp;'Chart Data'!C3</f>
        <v xml:space="preserve">1993, L1, </v>
      </c>
      <c r="C3" t="str">
        <f>IF(('Chart Data'!D3 = 0), "", $A3&amp;", " &amp;C$1&amp;", " &amp;'Chart Data'!D3)</f>
        <v/>
      </c>
      <c r="D3" t="str">
        <f>IF(('Chart Data'!E3 = 0), "", $A3&amp;", " &amp;D$1&amp;", " &amp;'Chart Data'!E3)</f>
        <v/>
      </c>
      <c r="E3" t="str">
        <f>IF(('Chart Data'!F3 = 0), "", $A3&amp;", " &amp;E$1&amp;", " &amp;'Chart Data'!F3)</f>
        <v/>
      </c>
      <c r="F3" t="str">
        <f>IF(('Chart Data'!G3 = 0), "", $A3&amp;", " &amp;F$1&amp;", " &amp;'Chart Data'!G3)</f>
        <v/>
      </c>
      <c r="G3" t="str">
        <f>IF(('Chart Data'!H3 = 0), "", $A3&amp;", " &amp;G$1&amp;", " &amp;'Chart Data'!H3)</f>
        <v/>
      </c>
      <c r="H3" t="str">
        <f>IF(('Chart Data'!I3 = 0), "", $A3&amp;", " &amp;H$1&amp;", " &amp;'Chart Data'!I3)</f>
        <v/>
      </c>
      <c r="I3" t="str">
        <f>IF(('Chart Data'!J3 = 0), "", $A3&amp;", " &amp;I$1&amp;", " &amp;'Chart Data'!J3)</f>
        <v/>
      </c>
      <c r="J3" t="str">
        <f>IF(('Chart Data'!K3 = 0), "", $A3&amp;", " &amp;J$1&amp;", " &amp;'Chart Data'!K3)</f>
        <v/>
      </c>
      <c r="K3" t="str">
        <f>IF(('Chart Data'!L3 = 0), "", $A3&amp;", " &amp;K$1&amp;", " &amp;'Chart Data'!L3)</f>
        <v/>
      </c>
      <c r="L3" t="str">
        <f>IF(('Chart Data'!M3 = 0), "", $A3&amp;", " &amp;L$1&amp;", " &amp;'Chart Data'!M3)</f>
        <v/>
      </c>
      <c r="M3" t="str">
        <f>IF(('Chart Data'!N3 = 0), "", $A3&amp;", " &amp;M$1&amp;", " &amp;'Chart Data'!N3)</f>
        <v/>
      </c>
      <c r="N3" t="str">
        <f>IF(('Chart Data'!O3 = 0), "", $A3&amp;", " &amp;N$1&amp;", " &amp;'Chart Data'!O3)</f>
        <v/>
      </c>
      <c r="O3" t="str">
        <f>IF(('Chart Data'!P3 = 0), "", $A3&amp;", " &amp;O$1&amp;", " &amp;'Chart Data'!P3)</f>
        <v/>
      </c>
    </row>
    <row r="4" spans="1:25">
      <c r="A4">
        <v>2000</v>
      </c>
      <c r="B4" t="str">
        <f>$A4&amp;", " &amp;B$1&amp;", " &amp;'Chart Data'!C4</f>
        <v xml:space="preserve">2000, L1, </v>
      </c>
      <c r="C4" t="str">
        <f>IF(('Chart Data'!D4 = 0), "", $A4&amp;", " &amp;C$1&amp;", " &amp;'Chart Data'!D4)</f>
        <v/>
      </c>
      <c r="D4" t="str">
        <f>IF(('Chart Data'!E4 = 0), "", $A4&amp;", " &amp;D$1&amp;", " &amp;'Chart Data'!E4)</f>
        <v/>
      </c>
      <c r="E4" t="str">
        <f>IF(('Chart Data'!F4 = 0), "", $A4&amp;", " &amp;E$1&amp;", " &amp;'Chart Data'!F4)</f>
        <v/>
      </c>
      <c r="F4" t="str">
        <f>IF(('Chart Data'!G4 = 0), "", $A4&amp;", " &amp;F$1&amp;", " &amp;'Chart Data'!G4)</f>
        <v/>
      </c>
      <c r="G4" t="str">
        <f>IF(('Chart Data'!H4 = 0), "", $A4&amp;", " &amp;G$1&amp;", " &amp;'Chart Data'!H4)</f>
        <v/>
      </c>
      <c r="H4" t="str">
        <f>IF(('Chart Data'!I4 = 0), "", $A4&amp;", " &amp;H$1&amp;", " &amp;'Chart Data'!I4)</f>
        <v/>
      </c>
      <c r="I4" t="str">
        <f>IF(('Chart Data'!J4 = 0), "", $A4&amp;", " &amp;I$1&amp;", " &amp;'Chart Data'!J4)</f>
        <v/>
      </c>
      <c r="J4" t="str">
        <f>IF(('Chart Data'!K4 = 0), "", $A4&amp;", " &amp;J$1&amp;", " &amp;'Chart Data'!K4)</f>
        <v/>
      </c>
      <c r="K4" t="str">
        <f>IF(('Chart Data'!L4 = 0), "", $A4&amp;", " &amp;K$1&amp;", " &amp;'Chart Data'!L4)</f>
        <v/>
      </c>
      <c r="L4" t="str">
        <f>IF(('Chart Data'!M4 = 0), "", $A4&amp;", " &amp;L$1&amp;", " &amp;'Chart Data'!M4)</f>
        <v/>
      </c>
      <c r="M4" t="str">
        <f>IF(('Chart Data'!N4 = 0), "", $A4&amp;", " &amp;M$1&amp;", " &amp;'Chart Data'!N4)</f>
        <v/>
      </c>
      <c r="N4" t="str">
        <f>IF(('Chart Data'!O4 = 0), "", $A4&amp;", " &amp;N$1&amp;", " &amp;'Chart Data'!O4)</f>
        <v/>
      </c>
      <c r="O4" t="str">
        <f>IF(('Chart Data'!P4 = 0), "", $A4&amp;", " &amp;O$1&amp;", " &amp;'Chart Data'!P4)</f>
        <v/>
      </c>
    </row>
    <row r="5" spans="1:25">
      <c r="A5">
        <v>2001</v>
      </c>
      <c r="B5" t="str">
        <f>$A5&amp;", " &amp;B$1&amp;", " &amp;'Chart Data'!C5</f>
        <v xml:space="preserve">2001, L1, </v>
      </c>
      <c r="C5" t="str">
        <f>IF(('Chart Data'!D5 = 0), "", $A5&amp;", " &amp;C$1&amp;", " &amp;'Chart Data'!D5)</f>
        <v/>
      </c>
      <c r="D5" t="str">
        <f>IF(('Chart Data'!E5 = 0), "", $A5&amp;", " &amp;D$1&amp;", " &amp;'Chart Data'!E5)</f>
        <v/>
      </c>
      <c r="E5" t="str">
        <f>IF(('Chart Data'!F5 = 0), "", $A5&amp;", " &amp;E$1&amp;", " &amp;'Chart Data'!F5)</f>
        <v/>
      </c>
      <c r="F5" t="str">
        <f>IF(('Chart Data'!G5 = 0), "", $A5&amp;", " &amp;F$1&amp;", " &amp;'Chart Data'!G5)</f>
        <v/>
      </c>
      <c r="G5" t="str">
        <f>IF(('Chart Data'!H5 = 0), "", $A5&amp;", " &amp;G$1&amp;", " &amp;'Chart Data'!H5)</f>
        <v/>
      </c>
      <c r="H5" t="str">
        <f>IF(('Chart Data'!I5 = 0), "", $A5&amp;", " &amp;H$1&amp;", " &amp;'Chart Data'!I5)</f>
        <v/>
      </c>
      <c r="I5" t="str">
        <f>IF(('Chart Data'!J5 = 0), "", $A5&amp;", " &amp;I$1&amp;", " &amp;'Chart Data'!J5)</f>
        <v/>
      </c>
      <c r="J5" t="str">
        <f>IF(('Chart Data'!K5 = 0), "", $A5&amp;", " &amp;J$1&amp;", " &amp;'Chart Data'!K5)</f>
        <v/>
      </c>
      <c r="K5" t="str">
        <f>IF(('Chart Data'!L5 = 0), "", $A5&amp;", " &amp;K$1&amp;", " &amp;'Chart Data'!L5)</f>
        <v/>
      </c>
      <c r="L5" t="str">
        <f>IF(('Chart Data'!M5 = 0), "", $A5&amp;", " &amp;L$1&amp;", " &amp;'Chart Data'!M5)</f>
        <v/>
      </c>
      <c r="M5" t="str">
        <f>IF(('Chart Data'!N5 = 0), "", $A5&amp;", " &amp;M$1&amp;", " &amp;'Chart Data'!N5)</f>
        <v/>
      </c>
      <c r="N5" t="str">
        <f>IF(('Chart Data'!O5 = 0), "", $A5&amp;", " &amp;N$1&amp;", " &amp;'Chart Data'!O5)</f>
        <v/>
      </c>
      <c r="O5" t="str">
        <f>IF(('Chart Data'!P5 = 0), "", $A5&amp;", " &amp;O$1&amp;", " &amp;'Chart Data'!P5)</f>
        <v/>
      </c>
    </row>
    <row r="6" spans="1:25">
      <c r="A6">
        <v>2004</v>
      </c>
      <c r="B6" t="str">
        <f>$A6&amp;", " &amp;B$1&amp;", " &amp;'Chart Data'!C6</f>
        <v xml:space="preserve">2004, L1, </v>
      </c>
      <c r="C6" t="str">
        <f>IF(('Chart Data'!D6 = 0), "", $A6&amp;", " &amp;C$1&amp;", " &amp;'Chart Data'!D6)</f>
        <v/>
      </c>
      <c r="D6" t="str">
        <f>IF(('Chart Data'!E6 = 0), "", $A6&amp;", " &amp;D$1&amp;", " &amp;'Chart Data'!E6)</f>
        <v/>
      </c>
      <c r="E6" t="str">
        <f>IF(('Chart Data'!F6 = 0), "", $A6&amp;", " &amp;E$1&amp;", " &amp;'Chart Data'!F6)</f>
        <v/>
      </c>
      <c r="F6" t="str">
        <f>IF(('Chart Data'!G6 = 0), "", $A6&amp;", " &amp;F$1&amp;", " &amp;'Chart Data'!G6)</f>
        <v/>
      </c>
      <c r="G6" t="str">
        <f>IF(('Chart Data'!H6 = 0), "", $A6&amp;", " &amp;G$1&amp;", " &amp;'Chart Data'!H6)</f>
        <v/>
      </c>
      <c r="H6" t="str">
        <f>IF(('Chart Data'!I6 = 0), "", $A6&amp;", " &amp;H$1&amp;", " &amp;'Chart Data'!I6)</f>
        <v/>
      </c>
      <c r="I6" t="str">
        <f>IF(('Chart Data'!J6 = 0), "", $A6&amp;", " &amp;I$1&amp;", " &amp;'Chart Data'!J6)</f>
        <v/>
      </c>
      <c r="J6" t="str">
        <f>IF(('Chart Data'!K6 = 0), "", $A6&amp;", " &amp;J$1&amp;", " &amp;'Chart Data'!K6)</f>
        <v/>
      </c>
      <c r="K6" t="str">
        <f>IF(('Chart Data'!L6 = 0), "", $A6&amp;", " &amp;K$1&amp;", " &amp;'Chart Data'!L6)</f>
        <v/>
      </c>
      <c r="L6" t="str">
        <f>IF(('Chart Data'!M6 = 0), "", $A6&amp;", " &amp;L$1&amp;", " &amp;'Chart Data'!M6)</f>
        <v/>
      </c>
      <c r="M6" t="str">
        <f>IF(('Chart Data'!N6 = 0), "", $A6&amp;", " &amp;M$1&amp;", " &amp;'Chart Data'!N6)</f>
        <v/>
      </c>
      <c r="N6" t="str">
        <f>IF(('Chart Data'!O6 = 0), "", $A6&amp;", " &amp;N$1&amp;", " &amp;'Chart Data'!O6)</f>
        <v/>
      </c>
      <c r="O6" t="str">
        <f>IF(('Chart Data'!P6 = 0), "", $A6&amp;", " &amp;O$1&amp;", " &amp;'Chart Data'!P6)</f>
        <v/>
      </c>
    </row>
    <row r="7" spans="1:25">
      <c r="A7">
        <v>2005</v>
      </c>
      <c r="B7" t="str">
        <f>$A7&amp;", " &amp;B$1&amp;", " &amp;'Chart Data'!C7</f>
        <v xml:space="preserve">2005, L1, </v>
      </c>
      <c r="C7" t="str">
        <f>IF(('Chart Data'!D7 = 0), "", $A7&amp;", " &amp;C$1&amp;", " &amp;'Chart Data'!D7)</f>
        <v/>
      </c>
      <c r="D7" t="str">
        <f>IF(('Chart Data'!E7 = 0), "", $A7&amp;", " &amp;D$1&amp;", " &amp;'Chart Data'!E7)</f>
        <v/>
      </c>
      <c r="E7" t="str">
        <f>IF(('Chart Data'!F7 = 0), "", $A7&amp;", " &amp;E$1&amp;", " &amp;'Chart Data'!F7)</f>
        <v/>
      </c>
      <c r="F7" t="str">
        <f>IF(('Chart Data'!G7 = 0), "", $A7&amp;", " &amp;F$1&amp;", " &amp;'Chart Data'!G7)</f>
        <v/>
      </c>
      <c r="G7" t="str">
        <f>IF(('Chart Data'!H7 = 0), "", $A7&amp;", " &amp;G$1&amp;", " &amp;'Chart Data'!H7)</f>
        <v/>
      </c>
      <c r="H7" t="str">
        <f>IF(('Chart Data'!I7 = 0), "", $A7&amp;", " &amp;H$1&amp;", " &amp;'Chart Data'!I7)</f>
        <v/>
      </c>
      <c r="I7" t="str">
        <f>IF(('Chart Data'!J7 = 0), "", $A7&amp;", " &amp;I$1&amp;", " &amp;'Chart Data'!J7)</f>
        <v/>
      </c>
      <c r="J7" t="str">
        <f>IF(('Chart Data'!K7 = 0), "", $A7&amp;", " &amp;J$1&amp;", " &amp;'Chart Data'!K7)</f>
        <v/>
      </c>
      <c r="K7" t="str">
        <f>IF(('Chart Data'!L7 = 0), "", $A7&amp;", " &amp;K$1&amp;", " &amp;'Chart Data'!L7)</f>
        <v/>
      </c>
      <c r="L7" t="str">
        <f>IF(('Chart Data'!M7 = 0), "", $A7&amp;", " &amp;L$1&amp;", " &amp;'Chart Data'!M7)</f>
        <v/>
      </c>
      <c r="M7" t="str">
        <f>IF(('Chart Data'!N7 = 0), "", $A7&amp;", " &amp;M$1&amp;", " &amp;'Chart Data'!N7)</f>
        <v/>
      </c>
      <c r="N7" t="str">
        <f>IF(('Chart Data'!O7 = 0), "", $A7&amp;", " &amp;N$1&amp;", " &amp;'Chart Data'!O7)</f>
        <v/>
      </c>
      <c r="O7" t="str">
        <f>IF(('Chart Data'!P7 = 0), "", $A7&amp;", " &amp;O$1&amp;", " &amp;'Chart Data'!P7)</f>
        <v/>
      </c>
    </row>
    <row r="8" spans="1:25">
      <c r="A8">
        <v>2006</v>
      </c>
      <c r="B8" t="str">
        <f>$A8&amp;", " &amp;B$1&amp;", " &amp;'Chart Data'!C8</f>
        <v xml:space="preserve">2006, L1, </v>
      </c>
      <c r="C8" t="str">
        <f>IF(('Chart Data'!D8 = 0), "", $A8&amp;", " &amp;C$1&amp;", " &amp;'Chart Data'!D8)</f>
        <v/>
      </c>
      <c r="D8" t="str">
        <f>IF(('Chart Data'!E8 = 0), "", $A8&amp;", " &amp;D$1&amp;", " &amp;'Chart Data'!E8)</f>
        <v/>
      </c>
      <c r="E8" t="str">
        <f>IF(('Chart Data'!F8 = 0), "", $A8&amp;", " &amp;E$1&amp;", " &amp;'Chart Data'!F8)</f>
        <v/>
      </c>
      <c r="F8" t="str">
        <f>IF(('Chart Data'!G8 = 0), "", $A8&amp;", " &amp;F$1&amp;", " &amp;'Chart Data'!G8)</f>
        <v/>
      </c>
      <c r="G8" t="str">
        <f>IF(('Chart Data'!H8 = 0), "", $A8&amp;", " &amp;G$1&amp;", " &amp;'Chart Data'!H8)</f>
        <v/>
      </c>
      <c r="H8" t="str">
        <f>IF(('Chart Data'!I8 = 0), "", $A8&amp;", " &amp;H$1&amp;", " &amp;'Chart Data'!I8)</f>
        <v/>
      </c>
      <c r="I8" t="str">
        <f>IF(('Chart Data'!J8 = 0), "", $A8&amp;", " &amp;I$1&amp;", " &amp;'Chart Data'!J8)</f>
        <v/>
      </c>
      <c r="J8" t="str">
        <f>IF(('Chart Data'!K8 = 0), "", $A8&amp;", " &amp;J$1&amp;", " &amp;'Chart Data'!K8)</f>
        <v/>
      </c>
      <c r="K8" t="str">
        <f>IF(('Chart Data'!L8 = 0), "", $A8&amp;", " &amp;K$1&amp;", " &amp;'Chart Data'!L8)</f>
        <v/>
      </c>
      <c r="L8" t="str">
        <f>IF(('Chart Data'!M8 = 0), "", $A8&amp;", " &amp;L$1&amp;", " &amp;'Chart Data'!M8)</f>
        <v/>
      </c>
      <c r="M8" t="str">
        <f>IF(('Chart Data'!N8 = 0), "", $A8&amp;", " &amp;M$1&amp;", " &amp;'Chart Data'!N8)</f>
        <v/>
      </c>
      <c r="N8" t="str">
        <f>IF(('Chart Data'!O8 = 0), "", $A8&amp;", " &amp;N$1&amp;", " &amp;'Chart Data'!O8)</f>
        <v/>
      </c>
      <c r="O8" t="str">
        <f>IF(('Chart Data'!P8 = 0), "", $A8&amp;", " &amp;O$1&amp;", " &amp;'Chart Data'!P8)</f>
        <v/>
      </c>
    </row>
    <row r="9" spans="1:25">
      <c r="A9">
        <v>2009</v>
      </c>
      <c r="B9" t="str">
        <f>$A9&amp;", " &amp;B$1&amp;", " &amp;'Chart Data'!C9</f>
        <v xml:space="preserve">2009, L1, </v>
      </c>
      <c r="C9" t="str">
        <f>IF(('Chart Data'!D9 = 0), "", $A9&amp;", " &amp;C$1&amp;", " &amp;'Chart Data'!D9)</f>
        <v/>
      </c>
      <c r="D9" t="str">
        <f>IF(('Chart Data'!E9 = 0), "", $A9&amp;", " &amp;D$1&amp;", " &amp;'Chart Data'!E9)</f>
        <v/>
      </c>
      <c r="E9" t="str">
        <f>IF(('Chart Data'!F9 = 0), "", $A9&amp;", " &amp;E$1&amp;", " &amp;'Chart Data'!F9)</f>
        <v/>
      </c>
      <c r="F9" t="str">
        <f>IF(('Chart Data'!G9 = 0), "", $A9&amp;", " &amp;F$1&amp;", " &amp;'Chart Data'!G9)</f>
        <v/>
      </c>
      <c r="G9" t="str">
        <f>IF(('Chart Data'!H9 = 0), "", $A9&amp;", " &amp;G$1&amp;", " &amp;'Chart Data'!H9)</f>
        <v/>
      </c>
      <c r="H9" t="str">
        <f>IF(('Chart Data'!I9 = 0), "", $A9&amp;", " &amp;H$1&amp;", " &amp;'Chart Data'!I9)</f>
        <v/>
      </c>
      <c r="I9" t="str">
        <f>IF(('Chart Data'!J9 = 0), "", $A9&amp;", " &amp;I$1&amp;", " &amp;'Chart Data'!J9)</f>
        <v/>
      </c>
      <c r="J9" t="str">
        <f>IF(('Chart Data'!K9 = 0), "", $A9&amp;", " &amp;J$1&amp;", " &amp;'Chart Data'!K9)</f>
        <v/>
      </c>
      <c r="K9" t="str">
        <f>IF(('Chart Data'!L9 = 0), "", $A9&amp;", " &amp;K$1&amp;", " &amp;'Chart Data'!L9)</f>
        <v/>
      </c>
      <c r="L9" t="str">
        <f>IF(('Chart Data'!M9 = 0), "", $A9&amp;", " &amp;L$1&amp;", " &amp;'Chart Data'!M9)</f>
        <v/>
      </c>
      <c r="M9" t="str">
        <f>IF(('Chart Data'!N9 = 0), "", $A9&amp;", " &amp;M$1&amp;", " &amp;'Chart Data'!N9)</f>
        <v/>
      </c>
      <c r="N9" t="str">
        <f>IF(('Chart Data'!O9 = 0), "", $A9&amp;", " &amp;N$1&amp;", " &amp;'Chart Data'!O9)</f>
        <v/>
      </c>
      <c r="O9" t="str">
        <f>IF(('Chart Data'!P9 = 0), "", $A9&amp;", " &amp;O$1&amp;", " &amp;'Chart Data'!P9)</f>
        <v/>
      </c>
    </row>
    <row r="10" spans="1:25">
      <c r="A10">
        <v>2010</v>
      </c>
      <c r="B10" t="str">
        <f>$A10&amp;", " &amp;B$1&amp;", " &amp;'Chart Data'!C10</f>
        <v xml:space="preserve">2010, L1, </v>
      </c>
      <c r="C10" t="str">
        <f>IF(('Chart Data'!D10 = 0), "", $A10&amp;", " &amp;C$1&amp;", " &amp;'Chart Data'!D10)</f>
        <v/>
      </c>
      <c r="D10" t="str">
        <f>IF(('Chart Data'!E10 = 0), "", $A10&amp;", " &amp;D$1&amp;", " &amp;'Chart Data'!E10)</f>
        <v/>
      </c>
      <c r="E10" t="str">
        <f>IF(('Chart Data'!F10 = 0), "", $A10&amp;", " &amp;E$1&amp;", " &amp;'Chart Data'!F10)</f>
        <v/>
      </c>
      <c r="F10" t="str">
        <f>IF(('Chart Data'!G10 = 0), "", $A10&amp;", " &amp;F$1&amp;", " &amp;'Chart Data'!G10)</f>
        <v/>
      </c>
      <c r="G10" t="str">
        <f>IF(('Chart Data'!H10 = 0), "", $A10&amp;", " &amp;G$1&amp;", " &amp;'Chart Data'!H10)</f>
        <v/>
      </c>
      <c r="H10" t="str">
        <f>IF(('Chart Data'!I10 = 0), "", $A10&amp;", " &amp;H$1&amp;", " &amp;'Chart Data'!I10)</f>
        <v/>
      </c>
      <c r="I10" t="str">
        <f>IF(('Chart Data'!J10 = 0), "", $A10&amp;", " &amp;I$1&amp;", " &amp;'Chart Data'!J10)</f>
        <v/>
      </c>
      <c r="J10" t="str">
        <f>IF(('Chart Data'!K10 = 0), "", $A10&amp;", " &amp;J$1&amp;", " &amp;'Chart Data'!K10)</f>
        <v/>
      </c>
      <c r="K10" t="str">
        <f>IF(('Chart Data'!L10 = 0), "", $A10&amp;", " &amp;K$1&amp;", " &amp;'Chart Data'!L10)</f>
        <v/>
      </c>
      <c r="L10" t="str">
        <f>IF(('Chart Data'!M10 = 0), "", $A10&amp;", " &amp;L$1&amp;", " &amp;'Chart Data'!M10)</f>
        <v/>
      </c>
      <c r="M10" t="str">
        <f>IF(('Chart Data'!N10 = 0), "", $A10&amp;", " &amp;M$1&amp;", " &amp;'Chart Data'!N10)</f>
        <v/>
      </c>
      <c r="N10" t="str">
        <f>IF(('Chart Data'!O10 = 0), "", $A10&amp;", " &amp;N$1&amp;", " &amp;'Chart Data'!O10)</f>
        <v/>
      </c>
      <c r="O10" t="str">
        <f>IF(('Chart Data'!P10 = 0), "", $A10&amp;", " &amp;O$1&amp;", " &amp;'Chart Data'!P10)</f>
        <v/>
      </c>
    </row>
    <row r="11" spans="1:25">
      <c r="A11">
        <v>2012</v>
      </c>
      <c r="B11" t="str">
        <f>$A11&amp;", " &amp;B$1&amp;", " &amp;'Chart Data'!C11</f>
        <v xml:space="preserve">2012, L1, </v>
      </c>
      <c r="C11" t="str">
        <f>IF(('Chart Data'!D11 = 0), "", $A11&amp;", " &amp;C$1&amp;", " &amp;'Chart Data'!D11)</f>
        <v/>
      </c>
      <c r="D11" t="str">
        <f>IF(('Chart Data'!E11 = 0), "", $A11&amp;", " &amp;D$1&amp;", " &amp;'Chart Data'!E11)</f>
        <v/>
      </c>
      <c r="E11" t="str">
        <f>IF(('Chart Data'!F11 = 0), "", $A11&amp;", " &amp;E$1&amp;", " &amp;'Chart Data'!F11)</f>
        <v/>
      </c>
      <c r="F11" t="str">
        <f>IF(('Chart Data'!G11 = 0), "", $A11&amp;", " &amp;F$1&amp;", " &amp;'Chart Data'!G11)</f>
        <v/>
      </c>
      <c r="G11" t="str">
        <f>IF(('Chart Data'!H11 = 0), "", $A11&amp;", " &amp;G$1&amp;", " &amp;'Chart Data'!H11)</f>
        <v/>
      </c>
      <c r="H11" t="str">
        <f>IF(('Chart Data'!I11 = 0), "", $A11&amp;", " &amp;H$1&amp;", " &amp;'Chart Data'!I11)</f>
        <v/>
      </c>
      <c r="I11" t="str">
        <f>IF(('Chart Data'!J11 = 0), "", $A11&amp;", " &amp;I$1&amp;", " &amp;'Chart Data'!J11)</f>
        <v/>
      </c>
      <c r="J11" t="str">
        <f>IF(('Chart Data'!K11 = 0), "", $A11&amp;", " &amp;J$1&amp;", " &amp;'Chart Data'!K11)</f>
        <v/>
      </c>
      <c r="K11" t="str">
        <f>IF(('Chart Data'!L11 = 0), "", $A11&amp;", " &amp;K$1&amp;", " &amp;'Chart Data'!L11)</f>
        <v/>
      </c>
      <c r="L11" t="str">
        <f>IF(('Chart Data'!M11 = 0), "", $A11&amp;", " &amp;L$1&amp;", " &amp;'Chart Data'!M11)</f>
        <v/>
      </c>
      <c r="M11" t="str">
        <f>IF(('Chart Data'!N11 = 0), "", $A11&amp;", " &amp;M$1&amp;", " &amp;'Chart Data'!N11)</f>
        <v/>
      </c>
      <c r="N11" t="str">
        <f>IF(('Chart Data'!O11 = 0), "", $A11&amp;", " &amp;N$1&amp;", " &amp;'Chart Data'!O11)</f>
        <v/>
      </c>
      <c r="O11" t="str">
        <f>IF(('Chart Data'!P11 = 0), "", $A11&amp;", " &amp;O$1&amp;", " &amp;'Chart Data'!P11)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RawData</vt:lpstr>
      <vt:lpstr>Formula</vt:lpstr>
      <vt:lpstr>Good Data</vt:lpstr>
      <vt:lpstr>Chart Data</vt:lpstr>
      <vt:lpstr>combineheaders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2014-08-24T23:16:15Z</dcterms:created>
  <dcterms:modified xsi:type="dcterms:W3CDTF">2014-08-30T17:45:15Z</dcterms:modified>
</cp:coreProperties>
</file>