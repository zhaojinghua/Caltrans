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 firstSheet="1" activeTab="1"/>
  </bookViews>
  <sheets>
    <sheet name="Sheet2" sheetId="14" r:id="rId1"/>
    <sheet name="data" sheetId="1" r:id="rId2"/>
    <sheet name="formula" sheetId="9" r:id="rId3"/>
    <sheet name="formulas" sheetId="15" r:id="rId4"/>
    <sheet name="p chart" sheetId="17" r:id="rId5"/>
    <sheet name="tabletocolumn" sheetId="16" r:id="rId6"/>
    <sheet name="Sheet1" sheetId="18" r:id="rId7"/>
  </sheets>
  <calcPr calcId="145621"/>
  <pivotCaches>
    <pivotCache cacheId="0" r:id="rId8"/>
    <pivotCache cacheId="1" r:id="rId9"/>
  </pivotCaches>
</workbook>
</file>

<file path=xl/calcChain.xml><?xml version="1.0" encoding="utf-8"?>
<calcChain xmlns="http://schemas.openxmlformats.org/spreadsheetml/2006/main">
  <c r="L25" i="18" l="1"/>
  <c r="L26" i="18"/>
  <c r="L27" i="18"/>
  <c r="L28" i="18"/>
  <c r="L29" i="18"/>
  <c r="L30" i="18"/>
  <c r="L31" i="18"/>
  <c r="L24" i="18"/>
  <c r="K25" i="18"/>
  <c r="K26" i="18"/>
  <c r="K27" i="18"/>
  <c r="K28" i="18"/>
  <c r="K29" i="18"/>
  <c r="K30" i="18"/>
  <c r="K31" i="18"/>
  <c r="K24" i="18"/>
  <c r="N30" i="1"/>
  <c r="N31" i="1"/>
  <c r="N32" i="1"/>
  <c r="N33" i="1"/>
  <c r="N34" i="1"/>
  <c r="N35" i="1"/>
  <c r="N36" i="1"/>
  <c r="N37" i="1"/>
  <c r="M33" i="1" l="1"/>
  <c r="M32" i="1"/>
  <c r="H1" i="16" l="1"/>
  <c r="H2" i="16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C3" i="9" l="1"/>
  <c r="C3" i="15" s="1"/>
  <c r="D3" i="9"/>
  <c r="D3" i="15" s="1"/>
  <c r="E3" i="9"/>
  <c r="E3" i="15" s="1"/>
  <c r="F3" i="9"/>
  <c r="F3" i="15" s="1"/>
  <c r="G3" i="9"/>
  <c r="G3" i="15" s="1"/>
  <c r="H3" i="9"/>
  <c r="H3" i="15" s="1"/>
  <c r="C4" i="9"/>
  <c r="C4" i="15" s="1"/>
  <c r="D4" i="9"/>
  <c r="D4" i="15" s="1"/>
  <c r="E4" i="9"/>
  <c r="E4" i="15" s="1"/>
  <c r="F4" i="9"/>
  <c r="F4" i="15" s="1"/>
  <c r="G4" i="9"/>
  <c r="G4" i="15" s="1"/>
  <c r="H4" i="9"/>
  <c r="H4" i="15" s="1"/>
  <c r="C5" i="9"/>
  <c r="C5" i="15" s="1"/>
  <c r="D5" i="9"/>
  <c r="D5" i="15" s="1"/>
  <c r="E5" i="9"/>
  <c r="E5" i="15" s="1"/>
  <c r="F5" i="9"/>
  <c r="F5" i="15" s="1"/>
  <c r="G5" i="9"/>
  <c r="G5" i="15" s="1"/>
  <c r="H5" i="9"/>
  <c r="H5" i="15" s="1"/>
  <c r="C6" i="9"/>
  <c r="C6" i="15" s="1"/>
  <c r="D6" i="9"/>
  <c r="D6" i="15" s="1"/>
  <c r="E6" i="9"/>
  <c r="E6" i="15" s="1"/>
  <c r="F6" i="9"/>
  <c r="F6" i="15" s="1"/>
  <c r="G6" i="9"/>
  <c r="G6" i="15" s="1"/>
  <c r="H6" i="9"/>
  <c r="H6" i="15" s="1"/>
  <c r="C7" i="9"/>
  <c r="C7" i="15" s="1"/>
  <c r="D7" i="9"/>
  <c r="D7" i="15" s="1"/>
  <c r="E7" i="9"/>
  <c r="E7" i="15" s="1"/>
  <c r="F7" i="9"/>
  <c r="F7" i="15" s="1"/>
  <c r="G7" i="9"/>
  <c r="G7" i="15" s="1"/>
  <c r="H7" i="9"/>
  <c r="H7" i="15" s="1"/>
  <c r="C8" i="9"/>
  <c r="C8" i="15" s="1"/>
  <c r="D8" i="9"/>
  <c r="D8" i="15" s="1"/>
  <c r="E8" i="9"/>
  <c r="E8" i="15" s="1"/>
  <c r="F8" i="9"/>
  <c r="F8" i="15" s="1"/>
  <c r="G8" i="9"/>
  <c r="G8" i="15" s="1"/>
  <c r="H8" i="9"/>
  <c r="H8" i="15" s="1"/>
  <c r="C9" i="9"/>
  <c r="C9" i="15" s="1"/>
  <c r="D9" i="9"/>
  <c r="D9" i="15" s="1"/>
  <c r="E9" i="9"/>
  <c r="E9" i="15" s="1"/>
  <c r="F9" i="9"/>
  <c r="F9" i="15" s="1"/>
  <c r="G9" i="9"/>
  <c r="G9" i="15" s="1"/>
  <c r="H9" i="9"/>
  <c r="H9" i="15" s="1"/>
  <c r="D2" i="9"/>
  <c r="D2" i="15" s="1"/>
  <c r="E2" i="9"/>
  <c r="E2" i="15" s="1"/>
  <c r="F2" i="9"/>
  <c r="F2" i="15" s="1"/>
  <c r="G2" i="9"/>
  <c r="G2" i="15" s="1"/>
  <c r="H2" i="9"/>
  <c r="H2" i="15" s="1"/>
  <c r="C2" i="9"/>
  <c r="C2" i="15" s="1"/>
  <c r="I2" i="9" l="1"/>
  <c r="I3" i="9" l="1"/>
  <c r="I4" i="9"/>
  <c r="I5" i="9"/>
  <c r="I6" i="9"/>
  <c r="I7" i="9"/>
  <c r="I8" i="9"/>
  <c r="I9" i="9"/>
</calcChain>
</file>

<file path=xl/sharedStrings.xml><?xml version="1.0" encoding="utf-8"?>
<sst xmlns="http://schemas.openxmlformats.org/spreadsheetml/2006/main" count="629" uniqueCount="119">
  <si>
    <t>Year</t>
  </si>
  <si>
    <t>Length</t>
  </si>
  <si>
    <t>Info</t>
  </si>
  <si>
    <t>L1</t>
  </si>
  <si>
    <t xml:space="preserve"> L2</t>
  </si>
  <si>
    <t xml:space="preserve"> L3</t>
  </si>
  <si>
    <t xml:space="preserve"> L4</t>
  </si>
  <si>
    <t>LenNumber</t>
  </si>
  <si>
    <t>Row Labels</t>
  </si>
  <si>
    <t>Grand Total</t>
  </si>
  <si>
    <t>Column Labels</t>
  </si>
  <si>
    <t>Sum of Length</t>
  </si>
  <si>
    <t xml:space="preserve"> L2 Total</t>
  </si>
  <si>
    <t xml:space="preserve"> L3 Total</t>
  </si>
  <si>
    <t xml:space="preserve"> L4 Total</t>
  </si>
  <si>
    <t>L1 Total</t>
  </si>
  <si>
    <t xml:space="preserve"> L5</t>
  </si>
  <si>
    <t xml:space="preserve"> L6</t>
  </si>
  <si>
    <t xml:space="preserve"> L7</t>
  </si>
  <si>
    <t xml:space="preserve"> L8</t>
  </si>
  <si>
    <t xml:space="preserve"> L9</t>
  </si>
  <si>
    <t xml:space="preserve"> L10</t>
  </si>
  <si>
    <t xml:space="preserve"> L11</t>
  </si>
  <si>
    <t xml:space="preserve"> L12</t>
  </si>
  <si>
    <t xml:space="preserve"> L13</t>
  </si>
  <si>
    <t xml:space="preserve"> L14</t>
  </si>
  <si>
    <t>EA</t>
  </si>
  <si>
    <t>TREATMENT</t>
  </si>
  <si>
    <t>COUNTY</t>
  </si>
  <si>
    <t>ROUTE</t>
  </si>
  <si>
    <t>YEAR</t>
  </si>
  <si>
    <t>BEG_PM</t>
  </si>
  <si>
    <t>END_PM</t>
  </si>
  <si>
    <t>LENGTH</t>
  </si>
  <si>
    <t>04-18973</t>
  </si>
  <si>
    <t>HMA Thin Overlay</t>
  </si>
  <si>
    <t>SON</t>
  </si>
  <si>
    <t>001</t>
  </si>
  <si>
    <t>04-19289</t>
  </si>
  <si>
    <t>04-1R110</t>
  </si>
  <si>
    <t>Chip Seal</t>
  </si>
  <si>
    <t>04-0C490</t>
  </si>
  <si>
    <t>HMA Thick Overlay</t>
  </si>
  <si>
    <t>04-0C350</t>
  </si>
  <si>
    <t>HMA Medium Overlay</t>
  </si>
  <si>
    <t>04-2R220</t>
  </si>
  <si>
    <t>Digouts</t>
  </si>
  <si>
    <t>04-0E300</t>
  </si>
  <si>
    <t>04-1E220</t>
  </si>
  <si>
    <t>04-1E730</t>
  </si>
  <si>
    <t>04-2E530</t>
  </si>
  <si>
    <t>04-19246</t>
  </si>
  <si>
    <t>04-0C340</t>
  </si>
  <si>
    <t>04-1R610</t>
  </si>
  <si>
    <t>04-0E350</t>
  </si>
  <si>
    <t>04-2A630</t>
  </si>
  <si>
    <t>Product 1</t>
  </si>
  <si>
    <t>Product 2</t>
  </si>
  <si>
    <t>Product 3</t>
  </si>
  <si>
    <t>Product 4</t>
  </si>
  <si>
    <t>Product 5</t>
  </si>
  <si>
    <t>Product 6</t>
  </si>
  <si>
    <t>Top Product</t>
  </si>
  <si>
    <t>Monday</t>
  </si>
  <si>
    <t>Tuesday</t>
  </si>
  <si>
    <t>Wednesday</t>
  </si>
  <si>
    <t>Thursday</t>
  </si>
  <si>
    <t>Friday</t>
  </si>
  <si>
    <t>Saturday</t>
  </si>
  <si>
    <t>L2</t>
  </si>
  <si>
    <t>L3</t>
  </si>
  <si>
    <t>L4</t>
  </si>
  <si>
    <t>L5</t>
  </si>
  <si>
    <t>L6</t>
  </si>
  <si>
    <t>treatment 1</t>
  </si>
  <si>
    <t>treatment 2</t>
  </si>
  <si>
    <t>treatment 3</t>
  </si>
  <si>
    <t>treatment 4</t>
  </si>
  <si>
    <t>treatment 1 Total</t>
  </si>
  <si>
    <t>treatment 2 Total</t>
  </si>
  <si>
    <t>treatment 3 Total</t>
  </si>
  <si>
    <t>treatment 4 Total</t>
  </si>
  <si>
    <t>EA000001</t>
  </si>
  <si>
    <t>EA000002</t>
  </si>
  <si>
    <t>EA000003</t>
  </si>
  <si>
    <t>EA000004</t>
  </si>
  <si>
    <t>EA000005</t>
  </si>
  <si>
    <t>EA000006</t>
  </si>
  <si>
    <t>EA000007</t>
  </si>
  <si>
    <t>EA000008</t>
  </si>
  <si>
    <t>EA000009</t>
  </si>
  <si>
    <t>EA000010</t>
  </si>
  <si>
    <t>EA000011</t>
  </si>
  <si>
    <t>EA000012</t>
  </si>
  <si>
    <t>EA000013</t>
  </si>
  <si>
    <t>EA000014</t>
  </si>
  <si>
    <t>EA000015</t>
  </si>
  <si>
    <t>EA000016</t>
  </si>
  <si>
    <t>EA000017</t>
  </si>
  <si>
    <t>EA000018</t>
  </si>
  <si>
    <t>EA000019</t>
  </si>
  <si>
    <t>EA000020</t>
  </si>
  <si>
    <t>EA000021</t>
  </si>
  <si>
    <t>EA000022</t>
  </si>
  <si>
    <t>EA000023</t>
  </si>
  <si>
    <t>EA000024</t>
  </si>
  <si>
    <t xml:space="preserve"> L1</t>
  </si>
  <si>
    <t xml:space="preserve"> Treatment 01</t>
  </si>
  <si>
    <t xml:space="preserve"> Treatment 02</t>
  </si>
  <si>
    <t xml:space="preserve"> Treatment 03</t>
  </si>
  <si>
    <t xml:space="preserve"> Treatment 04</t>
  </si>
  <si>
    <t xml:space="preserve"> Treatment 05</t>
  </si>
  <si>
    <t xml:space="preserve"> Treatment 06</t>
  </si>
  <si>
    <t xml:space="preserve"> Treatment 07</t>
  </si>
  <si>
    <t xml:space="preserve"> Treatment 08</t>
  </si>
  <si>
    <t>LenNum</t>
  </si>
  <si>
    <t xml:space="preserve"> L1 Total</t>
  </si>
  <si>
    <t xml:space="preserve"> L5 Total</t>
  </si>
  <si>
    <t xml:space="preserve"> L6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</si>
</sst>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 applyAlignment="1">
      <alignment horizontal="right"/>
    </xf>
    <xf numFmtId="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 table.xlsm]Sheet2!PivotTable2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Sheet2!$B$1:$B$4</c:f>
              <c:strCache>
                <c:ptCount val="1"/>
                <c:pt idx="0">
                  <c:v> L2 - treatment 1 - EA000009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Sheet2!$B$5:$B$11</c:f>
              <c:numCache>
                <c:formatCode>General</c:formatCode>
                <c:ptCount val="6"/>
                <c:pt idx="2">
                  <c:v>11.15</c:v>
                </c:pt>
              </c:numCache>
            </c:numRef>
          </c:val>
        </c:ser>
        <c:ser>
          <c:idx val="1"/>
          <c:order val="1"/>
          <c:tx>
            <c:strRef>
              <c:f>Sheet2!$D$1:$D$4</c:f>
              <c:strCache>
                <c:ptCount val="1"/>
                <c:pt idx="0">
                  <c:v> L2 - treatment 2 - EA000010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Sheet2!$D$5:$D$11</c:f>
              <c:numCache>
                <c:formatCode>General</c:formatCode>
                <c:ptCount val="6"/>
                <c:pt idx="3">
                  <c:v>0.126</c:v>
                </c:pt>
              </c:numCache>
            </c:numRef>
          </c:val>
        </c:ser>
        <c:ser>
          <c:idx val="2"/>
          <c:order val="2"/>
          <c:tx>
            <c:strRef>
              <c:f>Sheet2!$F$1:$F$4</c:f>
              <c:strCache>
                <c:ptCount val="1"/>
                <c:pt idx="0">
                  <c:v> L2 - treatment 3 - EA000007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Sheet2!$F$5:$F$11</c:f>
              <c:numCache>
                <c:formatCode>General</c:formatCode>
                <c:ptCount val="6"/>
                <c:pt idx="0">
                  <c:v>3.99</c:v>
                </c:pt>
              </c:numCache>
            </c:numRef>
          </c:val>
        </c:ser>
        <c:ser>
          <c:idx val="3"/>
          <c:order val="3"/>
          <c:tx>
            <c:strRef>
              <c:f>Sheet2!$G$1:$G$4</c:f>
              <c:strCache>
                <c:ptCount val="1"/>
                <c:pt idx="0">
                  <c:v> L2 - treatment 3 - EA000011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Sheet2!$G$5:$G$11</c:f>
              <c:numCache>
                <c:formatCode>General</c:formatCode>
                <c:ptCount val="6"/>
                <c:pt idx="4">
                  <c:v>2.78</c:v>
                </c:pt>
              </c:numCache>
            </c:numRef>
          </c:val>
        </c:ser>
        <c:ser>
          <c:idx val="4"/>
          <c:order val="4"/>
          <c:tx>
            <c:strRef>
              <c:f>Sheet2!$I$1:$I$4</c:f>
              <c:strCache>
                <c:ptCount val="1"/>
                <c:pt idx="0">
                  <c:v> L2 - treatment 4 - EA000008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Sheet2!$I$5:$I$11</c:f>
              <c:numCache>
                <c:formatCode>General</c:formatCode>
                <c:ptCount val="6"/>
                <c:pt idx="1">
                  <c:v>7.27</c:v>
                </c:pt>
              </c:numCache>
            </c:numRef>
          </c:val>
        </c:ser>
        <c:ser>
          <c:idx val="5"/>
          <c:order val="5"/>
          <c:tx>
            <c:strRef>
              <c:f>Sheet2!$J$1:$J$4</c:f>
              <c:strCache>
                <c:ptCount val="1"/>
                <c:pt idx="0">
                  <c:v> L2 - treatment 4 - EA000012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Sheet2!$J$5:$J$11</c:f>
              <c:numCache>
                <c:formatCode>General</c:formatCode>
                <c:ptCount val="6"/>
                <c:pt idx="5">
                  <c:v>3.077</c:v>
                </c:pt>
              </c:numCache>
            </c:numRef>
          </c:val>
        </c:ser>
        <c:ser>
          <c:idx val="6"/>
          <c:order val="6"/>
          <c:tx>
            <c:strRef>
              <c:f>Sheet2!$M$1:$M$4</c:f>
              <c:strCache>
                <c:ptCount val="1"/>
                <c:pt idx="0">
                  <c:v> L3 - treatment 1 - EA000013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Sheet2!$M$5:$M$11</c:f>
              <c:numCache>
                <c:formatCode>General</c:formatCode>
                <c:ptCount val="6"/>
                <c:pt idx="0">
                  <c:v>5.77</c:v>
                </c:pt>
              </c:numCache>
            </c:numRef>
          </c:val>
        </c:ser>
        <c:ser>
          <c:idx val="7"/>
          <c:order val="7"/>
          <c:tx>
            <c:strRef>
              <c:f>Sheet2!$N$1:$N$4</c:f>
              <c:strCache>
                <c:ptCount val="1"/>
                <c:pt idx="0">
                  <c:v> L3 - treatment 1 - EA000017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Sheet2!$N$5:$N$11</c:f>
              <c:numCache>
                <c:formatCode>General</c:formatCode>
                <c:ptCount val="6"/>
              </c:numCache>
            </c:numRef>
          </c:val>
        </c:ser>
        <c:ser>
          <c:idx val="8"/>
          <c:order val="8"/>
          <c:tx>
            <c:strRef>
              <c:f>Sheet2!$P$1:$P$4</c:f>
              <c:strCache>
                <c:ptCount val="1"/>
                <c:pt idx="0">
                  <c:v> L3 - treatment 2 - EA000014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Sheet2!$P$5:$P$11</c:f>
              <c:numCache>
                <c:formatCode>General</c:formatCode>
                <c:ptCount val="6"/>
                <c:pt idx="1">
                  <c:v>2.61</c:v>
                </c:pt>
              </c:numCache>
            </c:numRef>
          </c:val>
        </c:ser>
        <c:ser>
          <c:idx val="9"/>
          <c:order val="9"/>
          <c:tx>
            <c:strRef>
              <c:f>Sheet2!$Q$1:$Q$4</c:f>
              <c:strCache>
                <c:ptCount val="1"/>
                <c:pt idx="0">
                  <c:v> L3 - treatment 2 - EA000018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Sheet2!$Q$5:$Q$11</c:f>
              <c:numCache>
                <c:formatCode>General</c:formatCode>
                <c:ptCount val="6"/>
                <c:pt idx="5">
                  <c:v>0.02</c:v>
                </c:pt>
              </c:numCache>
            </c:numRef>
          </c:val>
        </c:ser>
        <c:ser>
          <c:idx val="10"/>
          <c:order val="10"/>
          <c:tx>
            <c:strRef>
              <c:f>Sheet2!$S$1:$S$4</c:f>
              <c:strCache>
                <c:ptCount val="1"/>
                <c:pt idx="0">
                  <c:v> L3 - treatment 3 - EA000015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Sheet2!$S$5:$S$11</c:f>
              <c:numCache>
                <c:formatCode>General</c:formatCode>
                <c:ptCount val="6"/>
              </c:numCache>
            </c:numRef>
          </c:val>
        </c:ser>
        <c:ser>
          <c:idx val="11"/>
          <c:order val="11"/>
          <c:tx>
            <c:strRef>
              <c:f>Sheet2!$U$1:$U$4</c:f>
              <c:strCache>
                <c:ptCount val="1"/>
                <c:pt idx="0">
                  <c:v> L3 - treatment 4 - EA000016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Sheet2!$U$5:$U$11</c:f>
              <c:numCache>
                <c:formatCode>General</c:formatCode>
                <c:ptCount val="6"/>
                <c:pt idx="3">
                  <c:v>11.807</c:v>
                </c:pt>
              </c:numCache>
            </c:numRef>
          </c:val>
        </c:ser>
        <c:ser>
          <c:idx val="12"/>
          <c:order val="12"/>
          <c:tx>
            <c:strRef>
              <c:f>Sheet2!$X$1:$X$4</c:f>
              <c:strCache>
                <c:ptCount val="1"/>
                <c:pt idx="0">
                  <c:v> L4 - treatment 1 - EA000021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Sheet2!$X$5:$X$11</c:f>
              <c:numCache>
                <c:formatCode>General</c:formatCode>
                <c:ptCount val="6"/>
              </c:numCache>
            </c:numRef>
          </c:val>
        </c:ser>
        <c:ser>
          <c:idx val="13"/>
          <c:order val="13"/>
          <c:tx>
            <c:strRef>
              <c:f>Sheet2!$Z$1:$Z$4</c:f>
              <c:strCache>
                <c:ptCount val="1"/>
                <c:pt idx="0">
                  <c:v> L4 - treatment 2 - EA000022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Sheet2!$Z$5:$Z$11</c:f>
              <c:numCache>
                <c:formatCode>General</c:formatCode>
                <c:ptCount val="6"/>
                <c:pt idx="3">
                  <c:v>3.69</c:v>
                </c:pt>
              </c:numCache>
            </c:numRef>
          </c:val>
        </c:ser>
        <c:ser>
          <c:idx val="14"/>
          <c:order val="14"/>
          <c:tx>
            <c:strRef>
              <c:f>Sheet2!$AB$1:$AB$4</c:f>
              <c:strCache>
                <c:ptCount val="1"/>
                <c:pt idx="0">
                  <c:v> L4 - treatment 3 - EA000019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Sheet2!$AB$5:$AB$11</c:f>
              <c:numCache>
                <c:formatCode>General</c:formatCode>
                <c:ptCount val="6"/>
                <c:pt idx="0">
                  <c:v>4.3</c:v>
                </c:pt>
              </c:numCache>
            </c:numRef>
          </c:val>
        </c:ser>
        <c:ser>
          <c:idx val="15"/>
          <c:order val="15"/>
          <c:tx>
            <c:strRef>
              <c:f>Sheet2!$AC$1:$AC$4</c:f>
              <c:strCache>
                <c:ptCount val="1"/>
                <c:pt idx="0">
                  <c:v> L4 - treatment 3 - EA000023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Sheet2!$AC$5:$AC$11</c:f>
              <c:numCache>
                <c:formatCode>General</c:formatCode>
                <c:ptCount val="6"/>
              </c:numCache>
            </c:numRef>
          </c:val>
        </c:ser>
        <c:ser>
          <c:idx val="16"/>
          <c:order val="16"/>
          <c:tx>
            <c:strRef>
              <c:f>Sheet2!$AE$1:$AE$4</c:f>
              <c:strCache>
                <c:ptCount val="1"/>
                <c:pt idx="0">
                  <c:v> L4 - treatment 4 - EA000020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Sheet2!$AE$5:$AE$11</c:f>
              <c:numCache>
                <c:formatCode>General</c:formatCode>
                <c:ptCount val="6"/>
                <c:pt idx="1">
                  <c:v>14.611000000000001</c:v>
                </c:pt>
              </c:numCache>
            </c:numRef>
          </c:val>
        </c:ser>
        <c:ser>
          <c:idx val="17"/>
          <c:order val="17"/>
          <c:tx>
            <c:strRef>
              <c:f>Sheet2!$AF$1:$AF$4</c:f>
              <c:strCache>
                <c:ptCount val="1"/>
                <c:pt idx="0">
                  <c:v> L4 - treatment 4 - EA000024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Sheet2!$AF$5:$AF$11</c:f>
              <c:numCache>
                <c:formatCode>General</c:formatCode>
                <c:ptCount val="6"/>
                <c:pt idx="5">
                  <c:v>8.5999999999999993E-2</c:v>
                </c:pt>
              </c:numCache>
            </c:numRef>
          </c:val>
        </c:ser>
        <c:ser>
          <c:idx val="18"/>
          <c:order val="18"/>
          <c:tx>
            <c:strRef>
              <c:f>Sheet2!$AI$1:$AI$4</c:f>
              <c:strCache>
                <c:ptCount val="1"/>
                <c:pt idx="0">
                  <c:v>L1 - treatment 1 - EA000001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Sheet2!$AI$5:$AI$11</c:f>
              <c:numCache>
                <c:formatCode>General</c:formatCode>
                <c:ptCount val="6"/>
                <c:pt idx="0">
                  <c:v>10.039999999999999</c:v>
                </c:pt>
              </c:numCache>
            </c:numRef>
          </c:val>
        </c:ser>
        <c:ser>
          <c:idx val="19"/>
          <c:order val="19"/>
          <c:tx>
            <c:strRef>
              <c:f>Sheet2!$AJ$1:$AJ$4</c:f>
              <c:strCache>
                <c:ptCount val="1"/>
                <c:pt idx="0">
                  <c:v>L1 - treatment 1 - EA000005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Sheet2!$AJ$5:$AJ$11</c:f>
              <c:numCache>
                <c:formatCode>General</c:formatCode>
                <c:ptCount val="6"/>
              </c:numCache>
            </c:numRef>
          </c:val>
        </c:ser>
        <c:ser>
          <c:idx val="20"/>
          <c:order val="20"/>
          <c:tx>
            <c:strRef>
              <c:f>Sheet2!$AL$1:$AL$4</c:f>
              <c:strCache>
                <c:ptCount val="1"/>
                <c:pt idx="0">
                  <c:v>L1 - treatment 2 - EA000002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Sheet2!$AL$5:$AL$11</c:f>
              <c:numCache>
                <c:formatCode>General</c:formatCode>
                <c:ptCount val="6"/>
              </c:numCache>
            </c:numRef>
          </c:val>
        </c:ser>
        <c:ser>
          <c:idx val="21"/>
          <c:order val="21"/>
          <c:tx>
            <c:strRef>
              <c:f>Sheet2!$AM$1:$AM$4</c:f>
              <c:strCache>
                <c:ptCount val="1"/>
                <c:pt idx="0">
                  <c:v>L1 - treatment 2 - EA000006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Sheet2!$AM$5:$AM$11</c:f>
              <c:numCache>
                <c:formatCode>General</c:formatCode>
                <c:ptCount val="6"/>
              </c:numCache>
            </c:numRef>
          </c:val>
        </c:ser>
        <c:ser>
          <c:idx val="22"/>
          <c:order val="22"/>
          <c:tx>
            <c:strRef>
              <c:f>Sheet2!$AO$1:$AO$4</c:f>
              <c:strCache>
                <c:ptCount val="1"/>
                <c:pt idx="0">
                  <c:v>L1 - treatment 3 - EA000003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Sheet2!$AO$5:$AO$11</c:f>
              <c:numCache>
                <c:formatCode>General</c:formatCode>
                <c:ptCount val="6"/>
                <c:pt idx="2">
                  <c:v>6.7770000000000001</c:v>
                </c:pt>
              </c:numCache>
            </c:numRef>
          </c:val>
        </c:ser>
        <c:ser>
          <c:idx val="23"/>
          <c:order val="23"/>
          <c:tx>
            <c:strRef>
              <c:f>Sheet2!$AQ$1:$AQ$4</c:f>
              <c:strCache>
                <c:ptCount val="1"/>
                <c:pt idx="0">
                  <c:v>L1 - treatment 4 - EA000004</c:v>
                </c:pt>
              </c:strCache>
            </c:strRef>
          </c:tx>
          <c:invertIfNegative val="0"/>
          <c:cat>
            <c:strRef>
              <c:f>Sheet2!$A$5:$A$11</c:f>
              <c:strCache>
                <c:ptCount val="6"/>
                <c:pt idx="0">
                  <c:v>1993</c:v>
                </c:pt>
                <c:pt idx="1">
                  <c:v>2001</c:v>
                </c:pt>
                <c:pt idx="2">
                  <c:v>2005</c:v>
                </c:pt>
                <c:pt idx="3">
                  <c:v>2008</c:v>
                </c:pt>
                <c:pt idx="4">
                  <c:v>2010</c:v>
                </c:pt>
                <c:pt idx="5">
                  <c:v>2011</c:v>
                </c:pt>
              </c:strCache>
            </c:strRef>
          </c:cat>
          <c:val>
            <c:numRef>
              <c:f>Sheet2!$AQ$5:$AQ$11</c:f>
              <c:numCache>
                <c:formatCode>General</c:formatCode>
                <c:ptCount val="6"/>
                <c:pt idx="3">
                  <c:v>8.5670000000000002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2448384"/>
        <c:axId val="537690112"/>
      </c:barChart>
      <c:catAx>
        <c:axId val="522448384"/>
        <c:scaling>
          <c:orientation val="minMax"/>
        </c:scaling>
        <c:delete val="0"/>
        <c:axPos val="l"/>
        <c:majorTickMark val="out"/>
        <c:minorTickMark val="none"/>
        <c:tickLblPos val="nextTo"/>
        <c:crossAx val="537690112"/>
        <c:crosses val="autoZero"/>
        <c:auto val="1"/>
        <c:lblAlgn val="ctr"/>
        <c:lblOffset val="100"/>
        <c:noMultiLvlLbl val="0"/>
      </c:catAx>
      <c:valAx>
        <c:axId val="53769011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22448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 table.xlsm]p chart!PivotTable1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 chart'!$B$1:$B$3</c:f>
              <c:strCache>
                <c:ptCount val="1"/>
                <c:pt idx="0">
                  <c:v> L1 -  Treatment 01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chart'!$B$4:$B$12</c:f>
              <c:numCache>
                <c:formatCode>General</c:formatCode>
                <c:ptCount val="8"/>
                <c:pt idx="0">
                  <c:v>2</c:v>
                </c:pt>
                <c:pt idx="7">
                  <c:v>2</c:v>
                </c:pt>
              </c:numCache>
            </c:numRef>
          </c:val>
        </c:ser>
        <c:ser>
          <c:idx val="1"/>
          <c:order val="1"/>
          <c:tx>
            <c:strRef>
              <c:f>'p chart'!$C$1:$C$3</c:f>
              <c:strCache>
                <c:ptCount val="1"/>
                <c:pt idx="0">
                  <c:v> L1 -  Treatment 02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chart'!$C$4:$C$12</c:f>
              <c:numCache>
                <c:formatCode>General</c:formatCode>
                <c:ptCount val="8"/>
                <c:pt idx="1">
                  <c:v>10</c:v>
                </c:pt>
              </c:numCache>
            </c:numRef>
          </c:val>
        </c:ser>
        <c:ser>
          <c:idx val="2"/>
          <c:order val="2"/>
          <c:tx>
            <c:strRef>
              <c:f>'p chart'!$D$1:$D$3</c:f>
              <c:strCache>
                <c:ptCount val="1"/>
                <c:pt idx="0">
                  <c:v> L1 -  Treatment 03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chart'!$D$4:$D$12</c:f>
              <c:numCache>
                <c:formatCode>General</c:formatCode>
                <c:ptCount val="8"/>
                <c:pt idx="2">
                  <c:v>4</c:v>
                </c:pt>
              </c:numCache>
            </c:numRef>
          </c:val>
        </c:ser>
        <c:ser>
          <c:idx val="3"/>
          <c:order val="3"/>
          <c:tx>
            <c:strRef>
              <c:f>'p chart'!$E$1:$E$3</c:f>
              <c:strCache>
                <c:ptCount val="1"/>
                <c:pt idx="0">
                  <c:v> L1 -  Treatment 04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chart'!$E$4:$E$12</c:f>
              <c:numCache>
                <c:formatCode>General</c:formatCode>
                <c:ptCount val="8"/>
                <c:pt idx="3">
                  <c:v>6</c:v>
                </c:pt>
              </c:numCache>
            </c:numRef>
          </c:val>
        </c:ser>
        <c:ser>
          <c:idx val="4"/>
          <c:order val="4"/>
          <c:tx>
            <c:strRef>
              <c:f>'p chart'!$F$1:$F$3</c:f>
              <c:strCache>
                <c:ptCount val="1"/>
                <c:pt idx="0">
                  <c:v> L1 -  Treatment 05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chart'!$F$4:$F$12</c:f>
              <c:numCache>
                <c:formatCode>General</c:formatCode>
                <c:ptCount val="8"/>
                <c:pt idx="4">
                  <c:v>2</c:v>
                </c:pt>
              </c:numCache>
            </c:numRef>
          </c:val>
        </c:ser>
        <c:ser>
          <c:idx val="5"/>
          <c:order val="5"/>
          <c:tx>
            <c:strRef>
              <c:f>'p chart'!$G$1:$G$3</c:f>
              <c:strCache>
                <c:ptCount val="1"/>
                <c:pt idx="0">
                  <c:v> L1 -  Treatment 06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chart'!$G$4:$G$12</c:f>
              <c:numCache>
                <c:formatCode>General</c:formatCode>
                <c:ptCount val="8"/>
                <c:pt idx="5">
                  <c:v>7</c:v>
                </c:pt>
              </c:numCache>
            </c:numRef>
          </c:val>
        </c:ser>
        <c:ser>
          <c:idx val="6"/>
          <c:order val="6"/>
          <c:tx>
            <c:strRef>
              <c:f>'p chart'!$H$1:$H$3</c:f>
              <c:strCache>
                <c:ptCount val="1"/>
                <c:pt idx="0">
                  <c:v> L1 -  Treatment 07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chart'!$H$4:$H$12</c:f>
              <c:numCache>
                <c:formatCode>General</c:formatCode>
                <c:ptCount val="8"/>
                <c:pt idx="6">
                  <c:v>6</c:v>
                </c:pt>
              </c:numCache>
            </c:numRef>
          </c:val>
        </c:ser>
        <c:ser>
          <c:idx val="7"/>
          <c:order val="7"/>
          <c:tx>
            <c:strRef>
              <c:f>'p chart'!$J$1:$J$3</c:f>
              <c:strCache>
                <c:ptCount val="1"/>
                <c:pt idx="0">
                  <c:v> L2 -  Treatment 01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chart'!$J$4:$J$12</c:f>
              <c:numCache>
                <c:formatCode>General</c:formatCode>
                <c:ptCount val="8"/>
                <c:pt idx="0">
                  <c:v>1</c:v>
                </c:pt>
              </c:numCache>
            </c:numRef>
          </c:val>
        </c:ser>
        <c:ser>
          <c:idx val="8"/>
          <c:order val="8"/>
          <c:tx>
            <c:strRef>
              <c:f>'p chart'!$K$1:$K$3</c:f>
              <c:strCache>
                <c:ptCount val="1"/>
                <c:pt idx="0">
                  <c:v> L2 -  Treatment 02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chart'!$K$4:$K$12</c:f>
              <c:numCache>
                <c:formatCode>General</c:formatCode>
                <c:ptCount val="8"/>
                <c:pt idx="1">
                  <c:v>1</c:v>
                </c:pt>
              </c:numCache>
            </c:numRef>
          </c:val>
        </c:ser>
        <c:ser>
          <c:idx val="9"/>
          <c:order val="9"/>
          <c:tx>
            <c:strRef>
              <c:f>'p chart'!$L$1:$L$3</c:f>
              <c:strCache>
                <c:ptCount val="1"/>
                <c:pt idx="0">
                  <c:v> L2 -  Treatment 03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chart'!$L$4:$L$12</c:f>
              <c:numCache>
                <c:formatCode>General</c:formatCode>
                <c:ptCount val="8"/>
                <c:pt idx="2">
                  <c:v>9</c:v>
                </c:pt>
              </c:numCache>
            </c:numRef>
          </c:val>
        </c:ser>
        <c:ser>
          <c:idx val="10"/>
          <c:order val="10"/>
          <c:tx>
            <c:strRef>
              <c:f>'p chart'!$M$1:$M$3</c:f>
              <c:strCache>
                <c:ptCount val="1"/>
                <c:pt idx="0">
                  <c:v> L2 -  Treatment 04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chart'!$M$4:$M$12</c:f>
              <c:numCache>
                <c:formatCode>General</c:formatCode>
                <c:ptCount val="8"/>
                <c:pt idx="3">
                  <c:v>5</c:v>
                </c:pt>
              </c:numCache>
            </c:numRef>
          </c:val>
        </c:ser>
        <c:ser>
          <c:idx val="11"/>
          <c:order val="11"/>
          <c:tx>
            <c:strRef>
              <c:f>'p chart'!$N$1:$N$3</c:f>
              <c:strCache>
                <c:ptCount val="1"/>
                <c:pt idx="0">
                  <c:v> L2 -  Treatment 05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chart'!$N$4:$N$12</c:f>
              <c:numCache>
                <c:formatCode>General</c:formatCode>
                <c:ptCount val="8"/>
                <c:pt idx="4">
                  <c:v>7</c:v>
                </c:pt>
              </c:numCache>
            </c:numRef>
          </c:val>
        </c:ser>
        <c:ser>
          <c:idx val="12"/>
          <c:order val="12"/>
          <c:tx>
            <c:strRef>
              <c:f>'p chart'!$O$1:$O$3</c:f>
              <c:strCache>
                <c:ptCount val="1"/>
                <c:pt idx="0">
                  <c:v> L2 -  Treatment 06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chart'!$O$4:$O$12</c:f>
              <c:numCache>
                <c:formatCode>General</c:formatCode>
                <c:ptCount val="8"/>
                <c:pt idx="5">
                  <c:v>10</c:v>
                </c:pt>
              </c:numCache>
            </c:numRef>
          </c:val>
        </c:ser>
        <c:ser>
          <c:idx val="13"/>
          <c:order val="13"/>
          <c:tx>
            <c:strRef>
              <c:f>'p chart'!$P$1:$P$3</c:f>
              <c:strCache>
                <c:ptCount val="1"/>
                <c:pt idx="0">
                  <c:v> L2 -  Treatment 07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chart'!$P$4:$P$12</c:f>
              <c:numCache>
                <c:formatCode>General</c:formatCode>
                <c:ptCount val="8"/>
                <c:pt idx="6">
                  <c:v>2</c:v>
                </c:pt>
              </c:numCache>
            </c:numRef>
          </c:val>
        </c:ser>
        <c:ser>
          <c:idx val="14"/>
          <c:order val="14"/>
          <c:tx>
            <c:strRef>
              <c:f>'p chart'!$Q$1:$Q$3</c:f>
              <c:strCache>
                <c:ptCount val="1"/>
                <c:pt idx="0">
                  <c:v> L2 -  Treatment 08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chart'!$Q$4:$Q$12</c:f>
              <c:numCache>
                <c:formatCode>General</c:formatCode>
                <c:ptCount val="8"/>
                <c:pt idx="7">
                  <c:v>6</c:v>
                </c:pt>
              </c:numCache>
            </c:numRef>
          </c:val>
        </c:ser>
        <c:ser>
          <c:idx val="15"/>
          <c:order val="15"/>
          <c:tx>
            <c:strRef>
              <c:f>'p chart'!$S$1:$S$3</c:f>
              <c:strCache>
                <c:ptCount val="1"/>
                <c:pt idx="0">
                  <c:v> L3 -  Treatment 01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chart'!$S$4:$S$12</c:f>
              <c:numCache>
                <c:formatCode>General</c:formatCode>
                <c:ptCount val="8"/>
                <c:pt idx="0">
                  <c:v>4</c:v>
                </c:pt>
              </c:numCache>
            </c:numRef>
          </c:val>
        </c:ser>
        <c:ser>
          <c:idx val="16"/>
          <c:order val="16"/>
          <c:tx>
            <c:strRef>
              <c:f>'p chart'!$T$1:$T$3</c:f>
              <c:strCache>
                <c:ptCount val="1"/>
                <c:pt idx="0">
                  <c:v> L3 -  Treatment 02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chart'!$T$4:$T$12</c:f>
              <c:numCache>
                <c:formatCode>General</c:formatCode>
                <c:ptCount val="8"/>
                <c:pt idx="1">
                  <c:v>5</c:v>
                </c:pt>
              </c:numCache>
            </c:numRef>
          </c:val>
        </c:ser>
        <c:ser>
          <c:idx val="17"/>
          <c:order val="17"/>
          <c:tx>
            <c:strRef>
              <c:f>'p chart'!$U$1:$U$3</c:f>
              <c:strCache>
                <c:ptCount val="1"/>
                <c:pt idx="0">
                  <c:v> L3 -  Treatment 03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chart'!$U$4:$U$12</c:f>
              <c:numCache>
                <c:formatCode>General</c:formatCode>
                <c:ptCount val="8"/>
                <c:pt idx="2">
                  <c:v>7</c:v>
                </c:pt>
              </c:numCache>
            </c:numRef>
          </c:val>
        </c:ser>
        <c:ser>
          <c:idx val="18"/>
          <c:order val="18"/>
          <c:tx>
            <c:strRef>
              <c:f>'p chart'!$V$1:$V$3</c:f>
              <c:strCache>
                <c:ptCount val="1"/>
                <c:pt idx="0">
                  <c:v> L3 -  Treatment 04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chart'!$V$4:$V$12</c:f>
              <c:numCache>
                <c:formatCode>General</c:formatCode>
                <c:ptCount val="8"/>
                <c:pt idx="3">
                  <c:v>2</c:v>
                </c:pt>
              </c:numCache>
            </c:numRef>
          </c:val>
        </c:ser>
        <c:ser>
          <c:idx val="19"/>
          <c:order val="19"/>
          <c:tx>
            <c:strRef>
              <c:f>'p chart'!$W$1:$W$3</c:f>
              <c:strCache>
                <c:ptCount val="1"/>
                <c:pt idx="0">
                  <c:v> L3 -  Treatment 05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chart'!$W$4:$W$12</c:f>
              <c:numCache>
                <c:formatCode>General</c:formatCode>
                <c:ptCount val="8"/>
                <c:pt idx="4">
                  <c:v>3</c:v>
                </c:pt>
              </c:numCache>
            </c:numRef>
          </c:val>
        </c:ser>
        <c:ser>
          <c:idx val="20"/>
          <c:order val="20"/>
          <c:tx>
            <c:strRef>
              <c:f>'p chart'!$X$1:$X$3</c:f>
              <c:strCache>
                <c:ptCount val="1"/>
                <c:pt idx="0">
                  <c:v> L3 -  Treatment 06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chart'!$X$4:$X$12</c:f>
              <c:numCache>
                <c:formatCode>General</c:formatCode>
                <c:ptCount val="8"/>
                <c:pt idx="5">
                  <c:v>3</c:v>
                </c:pt>
              </c:numCache>
            </c:numRef>
          </c:val>
        </c:ser>
        <c:ser>
          <c:idx val="21"/>
          <c:order val="21"/>
          <c:tx>
            <c:strRef>
              <c:f>'p chart'!$Y$1:$Y$3</c:f>
              <c:strCache>
                <c:ptCount val="1"/>
                <c:pt idx="0">
                  <c:v> L3 -  Treatment 07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chart'!$Y$4:$Y$12</c:f>
              <c:numCache>
                <c:formatCode>General</c:formatCode>
                <c:ptCount val="8"/>
                <c:pt idx="6">
                  <c:v>8</c:v>
                </c:pt>
              </c:numCache>
            </c:numRef>
          </c:val>
        </c:ser>
        <c:ser>
          <c:idx val="22"/>
          <c:order val="22"/>
          <c:tx>
            <c:strRef>
              <c:f>'p chart'!$Z$1:$Z$3</c:f>
              <c:strCache>
                <c:ptCount val="1"/>
                <c:pt idx="0">
                  <c:v> L3 -  Treatment 08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chart'!$Z$4:$Z$12</c:f>
              <c:numCache>
                <c:formatCode>General</c:formatCode>
                <c:ptCount val="8"/>
                <c:pt idx="7">
                  <c:v>8</c:v>
                </c:pt>
              </c:numCache>
            </c:numRef>
          </c:val>
        </c:ser>
        <c:ser>
          <c:idx val="23"/>
          <c:order val="23"/>
          <c:tx>
            <c:strRef>
              <c:f>'p chart'!$AB$1:$AB$3</c:f>
              <c:strCache>
                <c:ptCount val="1"/>
                <c:pt idx="0">
                  <c:v> L4 -  Treatment 01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chart'!$AB$4:$AB$12</c:f>
              <c:numCache>
                <c:formatCode>General</c:formatCode>
                <c:ptCount val="8"/>
                <c:pt idx="0">
                  <c:v>7</c:v>
                </c:pt>
              </c:numCache>
            </c:numRef>
          </c:val>
        </c:ser>
        <c:ser>
          <c:idx val="24"/>
          <c:order val="24"/>
          <c:tx>
            <c:strRef>
              <c:f>'p chart'!$AC$1:$AC$3</c:f>
              <c:strCache>
                <c:ptCount val="1"/>
                <c:pt idx="0">
                  <c:v> L4 -  Treatment 02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chart'!$AC$4:$AC$12</c:f>
              <c:numCache>
                <c:formatCode>General</c:formatCode>
                <c:ptCount val="8"/>
                <c:pt idx="1">
                  <c:v>9</c:v>
                </c:pt>
              </c:numCache>
            </c:numRef>
          </c:val>
        </c:ser>
        <c:ser>
          <c:idx val="25"/>
          <c:order val="25"/>
          <c:tx>
            <c:strRef>
              <c:f>'p chart'!$AD$1:$AD$3</c:f>
              <c:strCache>
                <c:ptCount val="1"/>
                <c:pt idx="0">
                  <c:v> L4 -  Treatment 03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chart'!$AD$4:$AD$12</c:f>
              <c:numCache>
                <c:formatCode>General</c:formatCode>
                <c:ptCount val="8"/>
                <c:pt idx="2">
                  <c:v>5</c:v>
                </c:pt>
              </c:numCache>
            </c:numRef>
          </c:val>
        </c:ser>
        <c:ser>
          <c:idx val="26"/>
          <c:order val="26"/>
          <c:tx>
            <c:strRef>
              <c:f>'p chart'!$AE$1:$AE$3</c:f>
              <c:strCache>
                <c:ptCount val="1"/>
                <c:pt idx="0">
                  <c:v> L4 -  Treatment 04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chart'!$AE$4:$AE$12</c:f>
              <c:numCache>
                <c:formatCode>General</c:formatCode>
                <c:ptCount val="8"/>
                <c:pt idx="3">
                  <c:v>7</c:v>
                </c:pt>
              </c:numCache>
            </c:numRef>
          </c:val>
        </c:ser>
        <c:ser>
          <c:idx val="27"/>
          <c:order val="27"/>
          <c:tx>
            <c:strRef>
              <c:f>'p chart'!$AF$1:$AF$3</c:f>
              <c:strCache>
                <c:ptCount val="1"/>
                <c:pt idx="0">
                  <c:v> L4 -  Treatment 05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chart'!$AF$4:$AF$12</c:f>
              <c:numCache>
                <c:formatCode>General</c:formatCode>
                <c:ptCount val="8"/>
                <c:pt idx="4">
                  <c:v>10</c:v>
                </c:pt>
              </c:numCache>
            </c:numRef>
          </c:val>
        </c:ser>
        <c:ser>
          <c:idx val="28"/>
          <c:order val="28"/>
          <c:tx>
            <c:strRef>
              <c:f>'p chart'!$AG$1:$AG$3</c:f>
              <c:strCache>
                <c:ptCount val="1"/>
                <c:pt idx="0">
                  <c:v> L4 -  Treatment 06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chart'!$AG$4:$AG$12</c:f>
              <c:numCache>
                <c:formatCode>General</c:formatCode>
                <c:ptCount val="8"/>
                <c:pt idx="5">
                  <c:v>9</c:v>
                </c:pt>
              </c:numCache>
            </c:numRef>
          </c:val>
        </c:ser>
        <c:ser>
          <c:idx val="29"/>
          <c:order val="29"/>
          <c:tx>
            <c:strRef>
              <c:f>'p chart'!$AH$1:$AH$3</c:f>
              <c:strCache>
                <c:ptCount val="1"/>
                <c:pt idx="0">
                  <c:v> L4 -  Treatment 07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chart'!$AH$4:$AH$12</c:f>
              <c:numCache>
                <c:formatCode>General</c:formatCode>
                <c:ptCount val="8"/>
                <c:pt idx="6">
                  <c:v>2</c:v>
                </c:pt>
              </c:numCache>
            </c:numRef>
          </c:val>
        </c:ser>
        <c:ser>
          <c:idx val="30"/>
          <c:order val="30"/>
          <c:tx>
            <c:strRef>
              <c:f>'p chart'!$AI$1:$AI$3</c:f>
              <c:strCache>
                <c:ptCount val="1"/>
                <c:pt idx="0">
                  <c:v> L4 -  Treatment 08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chart'!$AI$4:$AI$12</c:f>
              <c:numCache>
                <c:formatCode>General</c:formatCode>
                <c:ptCount val="8"/>
                <c:pt idx="7">
                  <c:v>8</c:v>
                </c:pt>
              </c:numCache>
            </c:numRef>
          </c:val>
        </c:ser>
        <c:ser>
          <c:idx val="31"/>
          <c:order val="31"/>
          <c:tx>
            <c:strRef>
              <c:f>'p chart'!$AK$1:$AK$3</c:f>
              <c:strCache>
                <c:ptCount val="1"/>
                <c:pt idx="0">
                  <c:v> L5 -  Treatment 01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chart'!$AK$4:$AK$12</c:f>
              <c:numCache>
                <c:formatCode>General</c:formatCode>
                <c:ptCount val="8"/>
                <c:pt idx="0">
                  <c:v>7</c:v>
                </c:pt>
              </c:numCache>
            </c:numRef>
          </c:val>
        </c:ser>
        <c:ser>
          <c:idx val="32"/>
          <c:order val="32"/>
          <c:tx>
            <c:strRef>
              <c:f>'p chart'!$AL$1:$AL$3</c:f>
              <c:strCache>
                <c:ptCount val="1"/>
                <c:pt idx="0">
                  <c:v> L5 -  Treatment 02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chart'!$AL$4:$AL$12</c:f>
              <c:numCache>
                <c:formatCode>General</c:formatCode>
                <c:ptCount val="8"/>
                <c:pt idx="1">
                  <c:v>5</c:v>
                </c:pt>
              </c:numCache>
            </c:numRef>
          </c:val>
        </c:ser>
        <c:ser>
          <c:idx val="33"/>
          <c:order val="33"/>
          <c:tx>
            <c:strRef>
              <c:f>'p chart'!$AM$1:$AM$3</c:f>
              <c:strCache>
                <c:ptCount val="1"/>
                <c:pt idx="0">
                  <c:v> L5 -  Treatment 03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chart'!$AM$4:$AM$12</c:f>
              <c:numCache>
                <c:formatCode>General</c:formatCode>
                <c:ptCount val="8"/>
                <c:pt idx="2">
                  <c:v>9</c:v>
                </c:pt>
              </c:numCache>
            </c:numRef>
          </c:val>
        </c:ser>
        <c:ser>
          <c:idx val="34"/>
          <c:order val="34"/>
          <c:tx>
            <c:strRef>
              <c:f>'p chart'!$AN$1:$AN$3</c:f>
              <c:strCache>
                <c:ptCount val="1"/>
                <c:pt idx="0">
                  <c:v> L5 -  Treatment 04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chart'!$AN$4:$AN$12</c:f>
              <c:numCache>
                <c:formatCode>General</c:formatCode>
                <c:ptCount val="8"/>
                <c:pt idx="3">
                  <c:v>2</c:v>
                </c:pt>
              </c:numCache>
            </c:numRef>
          </c:val>
        </c:ser>
        <c:ser>
          <c:idx val="35"/>
          <c:order val="35"/>
          <c:tx>
            <c:strRef>
              <c:f>'p chart'!$AO$1:$AO$3</c:f>
              <c:strCache>
                <c:ptCount val="1"/>
                <c:pt idx="0">
                  <c:v> L5 -  Treatment 05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chart'!$AO$4:$AO$12</c:f>
              <c:numCache>
                <c:formatCode>General</c:formatCode>
                <c:ptCount val="8"/>
                <c:pt idx="4">
                  <c:v>2</c:v>
                </c:pt>
              </c:numCache>
            </c:numRef>
          </c:val>
        </c:ser>
        <c:ser>
          <c:idx val="36"/>
          <c:order val="36"/>
          <c:tx>
            <c:strRef>
              <c:f>'p chart'!$AP$1:$AP$3</c:f>
              <c:strCache>
                <c:ptCount val="1"/>
                <c:pt idx="0">
                  <c:v> L5 -  Treatment 06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chart'!$AP$4:$AP$12</c:f>
              <c:numCache>
                <c:formatCode>General</c:formatCode>
                <c:ptCount val="8"/>
                <c:pt idx="5">
                  <c:v>10</c:v>
                </c:pt>
              </c:numCache>
            </c:numRef>
          </c:val>
        </c:ser>
        <c:ser>
          <c:idx val="37"/>
          <c:order val="37"/>
          <c:tx>
            <c:strRef>
              <c:f>'p chart'!$AQ$1:$AQ$3</c:f>
              <c:strCache>
                <c:ptCount val="1"/>
                <c:pt idx="0">
                  <c:v> L5 -  Treatment 07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chart'!$AQ$4:$AQ$12</c:f>
              <c:numCache>
                <c:formatCode>General</c:formatCode>
                <c:ptCount val="8"/>
                <c:pt idx="6">
                  <c:v>10</c:v>
                </c:pt>
              </c:numCache>
            </c:numRef>
          </c:val>
        </c:ser>
        <c:ser>
          <c:idx val="38"/>
          <c:order val="38"/>
          <c:tx>
            <c:strRef>
              <c:f>'p chart'!$AR$1:$AR$3</c:f>
              <c:strCache>
                <c:ptCount val="1"/>
                <c:pt idx="0">
                  <c:v> L5 -  Treatment 08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chart'!$AR$4:$AR$12</c:f>
              <c:numCache>
                <c:formatCode>General</c:formatCode>
                <c:ptCount val="8"/>
                <c:pt idx="7">
                  <c:v>3</c:v>
                </c:pt>
              </c:numCache>
            </c:numRef>
          </c:val>
        </c:ser>
        <c:ser>
          <c:idx val="39"/>
          <c:order val="39"/>
          <c:tx>
            <c:strRef>
              <c:f>'p chart'!$AT$1:$AT$3</c:f>
              <c:strCache>
                <c:ptCount val="1"/>
                <c:pt idx="0">
                  <c:v> L6 -  Treatment 01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chart'!$AT$4:$AT$12</c:f>
              <c:numCache>
                <c:formatCode>General</c:formatCode>
                <c:ptCount val="8"/>
                <c:pt idx="0">
                  <c:v>3</c:v>
                </c:pt>
              </c:numCache>
            </c:numRef>
          </c:val>
        </c:ser>
        <c:ser>
          <c:idx val="40"/>
          <c:order val="40"/>
          <c:tx>
            <c:strRef>
              <c:f>'p chart'!$AU$1:$AU$3</c:f>
              <c:strCache>
                <c:ptCount val="1"/>
                <c:pt idx="0">
                  <c:v> L6 -  Treatment 02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chart'!$AU$4:$AU$12</c:f>
              <c:numCache>
                <c:formatCode>General</c:formatCode>
                <c:ptCount val="8"/>
                <c:pt idx="1">
                  <c:v>4</c:v>
                </c:pt>
              </c:numCache>
            </c:numRef>
          </c:val>
        </c:ser>
        <c:ser>
          <c:idx val="41"/>
          <c:order val="41"/>
          <c:tx>
            <c:strRef>
              <c:f>'p chart'!$AV$1:$AV$3</c:f>
              <c:strCache>
                <c:ptCount val="1"/>
                <c:pt idx="0">
                  <c:v> L6 -  Treatment 03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chart'!$AV$4:$AV$12</c:f>
              <c:numCache>
                <c:formatCode>General</c:formatCode>
                <c:ptCount val="8"/>
                <c:pt idx="2">
                  <c:v>4</c:v>
                </c:pt>
              </c:numCache>
            </c:numRef>
          </c:val>
        </c:ser>
        <c:ser>
          <c:idx val="42"/>
          <c:order val="42"/>
          <c:tx>
            <c:strRef>
              <c:f>'p chart'!$AW$1:$AW$3</c:f>
              <c:strCache>
                <c:ptCount val="1"/>
                <c:pt idx="0">
                  <c:v> L6 -  Treatment 04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chart'!$AW$4:$AW$12</c:f>
              <c:numCache>
                <c:formatCode>General</c:formatCode>
                <c:ptCount val="8"/>
                <c:pt idx="3">
                  <c:v>3</c:v>
                </c:pt>
              </c:numCache>
            </c:numRef>
          </c:val>
        </c:ser>
        <c:ser>
          <c:idx val="43"/>
          <c:order val="43"/>
          <c:tx>
            <c:strRef>
              <c:f>'p chart'!$AX$1:$AX$3</c:f>
              <c:strCache>
                <c:ptCount val="1"/>
                <c:pt idx="0">
                  <c:v> L6 -  Treatment 05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chart'!$AX$4:$AX$12</c:f>
              <c:numCache>
                <c:formatCode>General</c:formatCode>
                <c:ptCount val="8"/>
                <c:pt idx="4">
                  <c:v>9</c:v>
                </c:pt>
              </c:numCache>
            </c:numRef>
          </c:val>
        </c:ser>
        <c:ser>
          <c:idx val="44"/>
          <c:order val="44"/>
          <c:tx>
            <c:strRef>
              <c:f>'p chart'!$AY$1:$AY$3</c:f>
              <c:strCache>
                <c:ptCount val="1"/>
                <c:pt idx="0">
                  <c:v> L6 -  Treatment 06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chart'!$AY$4:$AY$12</c:f>
              <c:numCache>
                <c:formatCode>General</c:formatCode>
                <c:ptCount val="8"/>
                <c:pt idx="5">
                  <c:v>1</c:v>
                </c:pt>
              </c:numCache>
            </c:numRef>
          </c:val>
        </c:ser>
        <c:ser>
          <c:idx val="45"/>
          <c:order val="45"/>
          <c:tx>
            <c:strRef>
              <c:f>'p chart'!$AZ$1:$AZ$3</c:f>
              <c:strCache>
                <c:ptCount val="1"/>
                <c:pt idx="0">
                  <c:v> L6 -  Treatment 07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chart'!$AZ$4:$AZ$12</c:f>
              <c:numCache>
                <c:formatCode>General</c:formatCode>
                <c:ptCount val="8"/>
                <c:pt idx="6">
                  <c:v>6</c:v>
                </c:pt>
              </c:numCache>
            </c:numRef>
          </c:val>
        </c:ser>
        <c:ser>
          <c:idx val="46"/>
          <c:order val="46"/>
          <c:tx>
            <c:strRef>
              <c:f>'p chart'!$BA$1:$BA$3</c:f>
              <c:strCache>
                <c:ptCount val="1"/>
                <c:pt idx="0">
                  <c:v> L6 -  Treatment 08</c:v>
                </c:pt>
              </c:strCache>
            </c:strRef>
          </c:tx>
          <c:invertIfNegative val="0"/>
          <c:cat>
            <c:strRef>
              <c:f>'p chart'!$A$4:$A$12</c:f>
              <c:strCache>
                <c:ptCount val="8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</c:strCache>
            </c:strRef>
          </c:cat>
          <c:val>
            <c:numRef>
              <c:f>'p chart'!$BA$4:$BA$12</c:f>
              <c:numCache>
                <c:formatCode>General</c:formatCode>
                <c:ptCount val="8"/>
                <c:pt idx="7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0491776"/>
        <c:axId val="537691840"/>
      </c:barChart>
      <c:catAx>
        <c:axId val="540491776"/>
        <c:scaling>
          <c:orientation val="minMax"/>
        </c:scaling>
        <c:delete val="0"/>
        <c:axPos val="l"/>
        <c:majorTickMark val="out"/>
        <c:minorTickMark val="none"/>
        <c:tickLblPos val="nextTo"/>
        <c:crossAx val="537691840"/>
        <c:crosses val="autoZero"/>
        <c:auto val="1"/>
        <c:lblAlgn val="ctr"/>
        <c:lblOffset val="100"/>
        <c:noMultiLvlLbl val="0"/>
      </c:catAx>
      <c:valAx>
        <c:axId val="5376918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40491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1</xdr:row>
      <xdr:rowOff>0</xdr:rowOff>
    </xdr:from>
    <xdr:to>
      <xdr:col>15</xdr:col>
      <xdr:colOff>857250</xdr:colOff>
      <xdr:row>40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352424</xdr:colOff>
      <xdr:row>0</xdr:row>
      <xdr:rowOff>161925</xdr:rowOff>
    </xdr:from>
    <xdr:to>
      <xdr:col>18</xdr:col>
      <xdr:colOff>515469</xdr:colOff>
      <xdr:row>40</xdr:row>
      <xdr:rowOff>89647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1878.781163310188" createdVersion="4" refreshedVersion="4" minRefreshableVersion="3" recordCount="24">
  <cacheSource type="worksheet">
    <worksheetSource ref="A1:E25" sheet="data"/>
  </cacheSource>
  <cacheFields count="5">
    <cacheField name="Year" numFmtId="0">
      <sharedItems containsSemiMixedTypes="0" containsString="0" containsNumber="1" containsInteger="1" minValue="1993" maxValue="2011" count="6">
        <n v="1993"/>
        <n v="2001"/>
        <n v="2005"/>
        <n v="2008"/>
        <n v="2010"/>
        <n v="2011"/>
      </sharedItems>
    </cacheField>
    <cacheField name="LenNumber" numFmtId="0">
      <sharedItems count="4">
        <s v="L1"/>
        <s v=" L2"/>
        <s v=" L3"/>
        <s v=" L4"/>
      </sharedItems>
    </cacheField>
    <cacheField name="Length" numFmtId="0">
      <sharedItems containsString="0" containsBlank="1" containsNumber="1" minValue="0.02" maxValue="14.611000000000001"/>
    </cacheField>
    <cacheField name="Info" numFmtId="0">
      <sharedItems count="4">
        <s v="treatment 1"/>
        <s v="treatment 2"/>
        <s v="treatment 3"/>
        <s v="treatment 4"/>
      </sharedItems>
    </cacheField>
    <cacheField name="EA" numFmtId="0">
      <sharedItems count="24">
        <s v="EA000001"/>
        <s v="EA000002"/>
        <s v="EA000003"/>
        <s v="EA000004"/>
        <s v="EA000005"/>
        <s v="EA000006"/>
        <s v="EA000007"/>
        <s v="EA000008"/>
        <s v="EA000009"/>
        <s v="EA000010"/>
        <s v="EA000011"/>
        <s v="EA000012"/>
        <s v="EA000013"/>
        <s v="EA000014"/>
        <s v="EA000015"/>
        <s v="EA000016"/>
        <s v="EA000017"/>
        <s v="EA000018"/>
        <s v="EA000019"/>
        <s v="EA000020"/>
        <s v="EA000021"/>
        <s v="EA000022"/>
        <s v="EA000023"/>
        <s v="EA0000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1878.817922106478" createdVersion="4" refreshedVersion="4" minRefreshableVersion="3" recordCount="48">
  <cacheSource type="worksheet">
    <worksheetSource ref="A50:D98" sheet="tabletocolumn"/>
  </cacheSource>
  <cacheFields count="4">
    <cacheField name="Year" numFmtId="0">
      <sharedItems containsSemiMixedTypes="0" containsString="0" containsNumber="1" containsInteger="1" minValue="1993" maxValue="2000" count="8">
        <n v="1993"/>
        <n v="1994"/>
        <n v="1995"/>
        <n v="1996"/>
        <n v="1997"/>
        <n v="1998"/>
        <n v="1999"/>
        <n v="2000"/>
      </sharedItems>
    </cacheField>
    <cacheField name="LenNum" numFmtId="0">
      <sharedItems count="6">
        <s v=" L1"/>
        <s v=" L2"/>
        <s v=" L3"/>
        <s v=" L4"/>
        <s v=" L5"/>
        <s v=" L6"/>
      </sharedItems>
    </cacheField>
    <cacheField name="Length" numFmtId="0">
      <sharedItems containsSemiMixedTypes="0" containsString="0" containsNumber="1" containsInteger="1" minValue="1" maxValue="10"/>
    </cacheField>
    <cacheField name="Info" numFmtId="0">
      <sharedItems count="8">
        <s v=" Treatment 01"/>
        <s v=" Treatment 02"/>
        <s v=" Treatment 03"/>
        <s v=" Treatment 04"/>
        <s v=" Treatment 05"/>
        <s v=" Treatment 06"/>
        <s v=" Treatment 07"/>
        <s v=" Treatment 0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n v="10.039999999999999"/>
    <x v="0"/>
    <x v="0"/>
  </r>
  <r>
    <x v="1"/>
    <x v="0"/>
    <m/>
    <x v="1"/>
    <x v="1"/>
  </r>
  <r>
    <x v="2"/>
    <x v="0"/>
    <n v="6.7770000000000001"/>
    <x v="2"/>
    <x v="2"/>
  </r>
  <r>
    <x v="3"/>
    <x v="0"/>
    <n v="8.5670000000000002"/>
    <x v="3"/>
    <x v="3"/>
  </r>
  <r>
    <x v="4"/>
    <x v="0"/>
    <m/>
    <x v="0"/>
    <x v="4"/>
  </r>
  <r>
    <x v="5"/>
    <x v="0"/>
    <m/>
    <x v="1"/>
    <x v="5"/>
  </r>
  <r>
    <x v="0"/>
    <x v="1"/>
    <n v="3.99"/>
    <x v="2"/>
    <x v="6"/>
  </r>
  <r>
    <x v="1"/>
    <x v="1"/>
    <n v="7.27"/>
    <x v="3"/>
    <x v="7"/>
  </r>
  <r>
    <x v="2"/>
    <x v="1"/>
    <n v="11.15"/>
    <x v="0"/>
    <x v="8"/>
  </r>
  <r>
    <x v="3"/>
    <x v="1"/>
    <n v="0.126"/>
    <x v="1"/>
    <x v="9"/>
  </r>
  <r>
    <x v="4"/>
    <x v="1"/>
    <n v="2.78"/>
    <x v="2"/>
    <x v="10"/>
  </r>
  <r>
    <x v="5"/>
    <x v="1"/>
    <n v="3.077"/>
    <x v="3"/>
    <x v="11"/>
  </r>
  <r>
    <x v="0"/>
    <x v="2"/>
    <n v="5.77"/>
    <x v="0"/>
    <x v="12"/>
  </r>
  <r>
    <x v="1"/>
    <x v="2"/>
    <n v="2.61"/>
    <x v="1"/>
    <x v="13"/>
  </r>
  <r>
    <x v="2"/>
    <x v="2"/>
    <m/>
    <x v="2"/>
    <x v="14"/>
  </r>
  <r>
    <x v="3"/>
    <x v="2"/>
    <n v="11.807"/>
    <x v="3"/>
    <x v="15"/>
  </r>
  <r>
    <x v="4"/>
    <x v="2"/>
    <m/>
    <x v="0"/>
    <x v="16"/>
  </r>
  <r>
    <x v="5"/>
    <x v="2"/>
    <n v="0.02"/>
    <x v="1"/>
    <x v="17"/>
  </r>
  <r>
    <x v="0"/>
    <x v="3"/>
    <n v="4.3"/>
    <x v="2"/>
    <x v="18"/>
  </r>
  <r>
    <x v="1"/>
    <x v="3"/>
    <n v="14.611000000000001"/>
    <x v="3"/>
    <x v="19"/>
  </r>
  <r>
    <x v="2"/>
    <x v="3"/>
    <m/>
    <x v="0"/>
    <x v="20"/>
  </r>
  <r>
    <x v="3"/>
    <x v="3"/>
    <n v="3.69"/>
    <x v="1"/>
    <x v="21"/>
  </r>
  <r>
    <x v="4"/>
    <x v="3"/>
    <m/>
    <x v="2"/>
    <x v="22"/>
  </r>
  <r>
    <x v="5"/>
    <x v="3"/>
    <n v="8.5999999999999993E-2"/>
    <x v="3"/>
    <x v="2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8">
  <r>
    <x v="0"/>
    <x v="0"/>
    <n v="2"/>
    <x v="0"/>
  </r>
  <r>
    <x v="1"/>
    <x v="0"/>
    <n v="10"/>
    <x v="1"/>
  </r>
  <r>
    <x v="2"/>
    <x v="0"/>
    <n v="4"/>
    <x v="2"/>
  </r>
  <r>
    <x v="3"/>
    <x v="0"/>
    <n v="6"/>
    <x v="3"/>
  </r>
  <r>
    <x v="4"/>
    <x v="0"/>
    <n v="2"/>
    <x v="4"/>
  </r>
  <r>
    <x v="5"/>
    <x v="0"/>
    <n v="7"/>
    <x v="5"/>
  </r>
  <r>
    <x v="6"/>
    <x v="0"/>
    <n v="6"/>
    <x v="6"/>
  </r>
  <r>
    <x v="7"/>
    <x v="0"/>
    <n v="2"/>
    <x v="0"/>
  </r>
  <r>
    <x v="0"/>
    <x v="1"/>
    <n v="1"/>
    <x v="0"/>
  </r>
  <r>
    <x v="1"/>
    <x v="1"/>
    <n v="1"/>
    <x v="1"/>
  </r>
  <r>
    <x v="2"/>
    <x v="1"/>
    <n v="9"/>
    <x v="2"/>
  </r>
  <r>
    <x v="3"/>
    <x v="1"/>
    <n v="5"/>
    <x v="3"/>
  </r>
  <r>
    <x v="4"/>
    <x v="1"/>
    <n v="7"/>
    <x v="4"/>
  </r>
  <r>
    <x v="5"/>
    <x v="1"/>
    <n v="10"/>
    <x v="5"/>
  </r>
  <r>
    <x v="6"/>
    <x v="1"/>
    <n v="2"/>
    <x v="6"/>
  </r>
  <r>
    <x v="7"/>
    <x v="1"/>
    <n v="6"/>
    <x v="7"/>
  </r>
  <r>
    <x v="0"/>
    <x v="2"/>
    <n v="4"/>
    <x v="0"/>
  </r>
  <r>
    <x v="1"/>
    <x v="2"/>
    <n v="5"/>
    <x v="1"/>
  </r>
  <r>
    <x v="2"/>
    <x v="2"/>
    <n v="7"/>
    <x v="2"/>
  </r>
  <r>
    <x v="3"/>
    <x v="2"/>
    <n v="2"/>
    <x v="3"/>
  </r>
  <r>
    <x v="4"/>
    <x v="2"/>
    <n v="3"/>
    <x v="4"/>
  </r>
  <r>
    <x v="5"/>
    <x v="2"/>
    <n v="3"/>
    <x v="5"/>
  </r>
  <r>
    <x v="6"/>
    <x v="2"/>
    <n v="8"/>
    <x v="6"/>
  </r>
  <r>
    <x v="7"/>
    <x v="2"/>
    <n v="8"/>
    <x v="7"/>
  </r>
  <r>
    <x v="0"/>
    <x v="3"/>
    <n v="7"/>
    <x v="0"/>
  </r>
  <r>
    <x v="1"/>
    <x v="3"/>
    <n v="9"/>
    <x v="1"/>
  </r>
  <r>
    <x v="2"/>
    <x v="3"/>
    <n v="5"/>
    <x v="2"/>
  </r>
  <r>
    <x v="3"/>
    <x v="3"/>
    <n v="7"/>
    <x v="3"/>
  </r>
  <r>
    <x v="4"/>
    <x v="3"/>
    <n v="10"/>
    <x v="4"/>
  </r>
  <r>
    <x v="5"/>
    <x v="3"/>
    <n v="9"/>
    <x v="5"/>
  </r>
  <r>
    <x v="6"/>
    <x v="3"/>
    <n v="2"/>
    <x v="6"/>
  </r>
  <r>
    <x v="7"/>
    <x v="3"/>
    <n v="8"/>
    <x v="7"/>
  </r>
  <r>
    <x v="0"/>
    <x v="4"/>
    <n v="7"/>
    <x v="0"/>
  </r>
  <r>
    <x v="1"/>
    <x v="4"/>
    <n v="5"/>
    <x v="1"/>
  </r>
  <r>
    <x v="2"/>
    <x v="4"/>
    <n v="9"/>
    <x v="2"/>
  </r>
  <r>
    <x v="3"/>
    <x v="4"/>
    <n v="2"/>
    <x v="3"/>
  </r>
  <r>
    <x v="4"/>
    <x v="4"/>
    <n v="2"/>
    <x v="4"/>
  </r>
  <r>
    <x v="5"/>
    <x v="4"/>
    <n v="10"/>
    <x v="5"/>
  </r>
  <r>
    <x v="6"/>
    <x v="4"/>
    <n v="10"/>
    <x v="6"/>
  </r>
  <r>
    <x v="7"/>
    <x v="4"/>
    <n v="3"/>
    <x v="7"/>
  </r>
  <r>
    <x v="0"/>
    <x v="5"/>
    <n v="3"/>
    <x v="0"/>
  </r>
  <r>
    <x v="1"/>
    <x v="5"/>
    <n v="4"/>
    <x v="1"/>
  </r>
  <r>
    <x v="2"/>
    <x v="5"/>
    <n v="4"/>
    <x v="2"/>
  </r>
  <r>
    <x v="3"/>
    <x v="5"/>
    <n v="3"/>
    <x v="3"/>
  </r>
  <r>
    <x v="4"/>
    <x v="5"/>
    <n v="9"/>
    <x v="4"/>
  </r>
  <r>
    <x v="5"/>
    <x v="5"/>
    <n v="1"/>
    <x v="5"/>
  </r>
  <r>
    <x v="6"/>
    <x v="5"/>
    <n v="6"/>
    <x v="6"/>
  </r>
  <r>
    <x v="7"/>
    <x v="5"/>
    <n v="3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AT11" firstHeaderRow="1" firstDataRow="4" firstDataCol="1"/>
  <pivotFields count="5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Col" showAll="0">
      <items count="5">
        <item x="1"/>
        <item x="2"/>
        <item x="3"/>
        <item x="0"/>
        <item t="default"/>
      </items>
    </pivotField>
    <pivotField dataField="1" showAll="0"/>
    <pivotField axis="axisCol" showAll="0">
      <items count="5">
        <item x="0"/>
        <item x="1"/>
        <item x="2"/>
        <item x="3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3">
    <field x="1"/>
    <field x="3"/>
    <field x="4"/>
  </colFields>
  <colItems count="45">
    <i>
      <x/>
      <x/>
      <x v="8"/>
    </i>
    <i t="default" r="1">
      <x/>
    </i>
    <i r="1">
      <x v="1"/>
      <x v="9"/>
    </i>
    <i t="default" r="1">
      <x v="1"/>
    </i>
    <i r="1">
      <x v="2"/>
      <x v="6"/>
    </i>
    <i r="2">
      <x v="10"/>
    </i>
    <i t="default" r="1">
      <x v="2"/>
    </i>
    <i r="1">
      <x v="3"/>
      <x v="7"/>
    </i>
    <i r="2">
      <x v="11"/>
    </i>
    <i t="default" r="1">
      <x v="3"/>
    </i>
    <i t="default">
      <x/>
    </i>
    <i>
      <x v="1"/>
      <x/>
      <x v="12"/>
    </i>
    <i r="2">
      <x v="16"/>
    </i>
    <i t="default" r="1">
      <x/>
    </i>
    <i r="1">
      <x v="1"/>
      <x v="13"/>
    </i>
    <i r="2">
      <x v="17"/>
    </i>
    <i t="default" r="1">
      <x v="1"/>
    </i>
    <i r="1">
      <x v="2"/>
      <x v="14"/>
    </i>
    <i t="default" r="1">
      <x v="2"/>
    </i>
    <i r="1">
      <x v="3"/>
      <x v="15"/>
    </i>
    <i t="default" r="1">
      <x v="3"/>
    </i>
    <i t="default">
      <x v="1"/>
    </i>
    <i>
      <x v="2"/>
      <x/>
      <x v="20"/>
    </i>
    <i t="default" r="1">
      <x/>
    </i>
    <i r="1">
      <x v="1"/>
      <x v="21"/>
    </i>
    <i t="default" r="1">
      <x v="1"/>
    </i>
    <i r="1">
      <x v="2"/>
      <x v="18"/>
    </i>
    <i r="2">
      <x v="22"/>
    </i>
    <i t="default" r="1">
      <x v="2"/>
    </i>
    <i r="1">
      <x v="3"/>
      <x v="19"/>
    </i>
    <i r="2">
      <x v="23"/>
    </i>
    <i t="default" r="1">
      <x v="3"/>
    </i>
    <i t="default">
      <x v="2"/>
    </i>
    <i>
      <x v="3"/>
      <x/>
      <x/>
    </i>
    <i r="2">
      <x v="4"/>
    </i>
    <i t="default" r="1">
      <x/>
    </i>
    <i r="1">
      <x v="1"/>
      <x v="1"/>
    </i>
    <i r="2">
      <x v="5"/>
    </i>
    <i t="default" r="1">
      <x v="1"/>
    </i>
    <i r="1">
      <x v="2"/>
      <x v="2"/>
    </i>
    <i t="default" r="1">
      <x v="2"/>
    </i>
    <i r="1">
      <x v="3"/>
      <x v="3"/>
    </i>
    <i t="default" r="1">
      <x v="3"/>
    </i>
    <i t="default">
      <x v="3"/>
    </i>
    <i t="grand">
      <x/>
    </i>
  </colItems>
  <dataFields count="1">
    <dataField name="Sum of Length" fld="2" baseField="0" baseItem="0"/>
  </dataFields>
  <chartFormats count="4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C12" firstHeaderRow="1" firstDataRow="3" firstDataCol="1"/>
  <pivotFields count="4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2">
    <field x="1"/>
    <field x="3"/>
  </colFields>
  <colItems count="54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default">
      <x v="3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default">
      <x v="4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default">
      <x v="5"/>
    </i>
    <i t="grand">
      <x/>
    </i>
  </colItems>
  <dataFields count="1">
    <dataField name="Sum of Length" fld="2" baseField="0" baseItem="0"/>
  </dataFields>
  <chartFormats count="6">
    <chartFormat chart="0" format="8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9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10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11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12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13" series="1">
      <pivotArea type="data" outline="0" fieldPosition="0">
        <references count="1">
          <reference field="1" count="1" selected="0">
            <x v="5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11"/>
  <sheetViews>
    <sheetView workbookViewId="0"/>
  </sheetViews>
  <sheetFormatPr defaultRowHeight="15" x14ac:dyDescent="0.25"/>
  <cols>
    <col min="1" max="1" width="13.7109375" customWidth="1"/>
    <col min="2" max="2" width="16.28515625" bestFit="1" customWidth="1"/>
    <col min="3" max="3" width="16.42578125" customWidth="1"/>
    <col min="4" max="4" width="13.28515625" customWidth="1"/>
    <col min="5" max="5" width="16.42578125" customWidth="1"/>
    <col min="6" max="6" width="13.28515625" customWidth="1"/>
    <col min="7" max="7" width="9.28515625" customWidth="1"/>
    <col min="8" max="8" width="16.42578125" bestFit="1" customWidth="1"/>
    <col min="9" max="9" width="13.28515625" bestFit="1" customWidth="1"/>
    <col min="10" max="10" width="9.28515625" customWidth="1"/>
    <col min="11" max="11" width="16.42578125" customWidth="1"/>
    <col min="12" max="12" width="8.140625" customWidth="1"/>
    <col min="13" max="13" width="13.28515625" bestFit="1" customWidth="1"/>
    <col min="14" max="14" width="9.28515625" customWidth="1"/>
    <col min="15" max="15" width="16.42578125" bestFit="1" customWidth="1"/>
    <col min="16" max="16" width="13.28515625" customWidth="1"/>
    <col min="17" max="17" width="9.28515625" customWidth="1"/>
    <col min="18" max="18" width="16.42578125" bestFit="1" customWidth="1"/>
    <col min="19" max="19" width="13.28515625" bestFit="1" customWidth="1"/>
    <col min="20" max="20" width="16.42578125" bestFit="1" customWidth="1"/>
    <col min="21" max="21" width="13.28515625" customWidth="1"/>
    <col min="22" max="22" width="16.42578125" bestFit="1" customWidth="1"/>
    <col min="23" max="23" width="8.140625" customWidth="1"/>
    <col min="24" max="24" width="13.28515625" bestFit="1" customWidth="1"/>
    <col min="25" max="25" width="16.42578125" bestFit="1" customWidth="1"/>
    <col min="26" max="26" width="13.28515625" bestFit="1" customWidth="1"/>
    <col min="27" max="27" width="16.42578125" bestFit="1" customWidth="1"/>
    <col min="28" max="28" width="13.28515625" bestFit="1" customWidth="1"/>
    <col min="29" max="29" width="9.28515625" bestFit="1" customWidth="1"/>
    <col min="30" max="30" width="16.42578125" bestFit="1" customWidth="1"/>
    <col min="31" max="31" width="13.28515625" bestFit="1" customWidth="1"/>
    <col min="32" max="32" width="9.28515625" bestFit="1" customWidth="1"/>
    <col min="33" max="33" width="16.42578125" bestFit="1" customWidth="1"/>
    <col min="34" max="34" width="8.140625" customWidth="1"/>
    <col min="35" max="35" width="13.28515625" bestFit="1" customWidth="1"/>
    <col min="36" max="36" width="9.28515625" bestFit="1" customWidth="1"/>
    <col min="37" max="37" width="16.42578125" bestFit="1" customWidth="1"/>
    <col min="38" max="38" width="13.28515625" bestFit="1" customWidth="1"/>
    <col min="39" max="39" width="9.28515625" bestFit="1" customWidth="1"/>
    <col min="40" max="40" width="16.42578125" bestFit="1" customWidth="1"/>
    <col min="41" max="41" width="13.28515625" bestFit="1" customWidth="1"/>
    <col min="42" max="42" width="16.42578125" bestFit="1" customWidth="1"/>
    <col min="43" max="43" width="13.28515625" bestFit="1" customWidth="1"/>
    <col min="44" max="44" width="16.42578125" bestFit="1" customWidth="1"/>
    <col min="45" max="45" width="7.7109375" customWidth="1"/>
    <col min="46" max="46" width="11.28515625" bestFit="1" customWidth="1"/>
  </cols>
  <sheetData>
    <row r="1" spans="1:46" x14ac:dyDescent="0.25">
      <c r="A1" s="1" t="s">
        <v>11</v>
      </c>
      <c r="B1" s="1" t="s">
        <v>10</v>
      </c>
    </row>
    <row r="2" spans="1:46" x14ac:dyDescent="0.25">
      <c r="B2" t="s">
        <v>4</v>
      </c>
      <c r="L2" t="s">
        <v>12</v>
      </c>
      <c r="M2" t="s">
        <v>5</v>
      </c>
      <c r="W2" t="s">
        <v>13</v>
      </c>
      <c r="X2" t="s">
        <v>6</v>
      </c>
      <c r="AH2" t="s">
        <v>14</v>
      </c>
      <c r="AI2" t="s">
        <v>3</v>
      </c>
      <c r="AS2" t="s">
        <v>15</v>
      </c>
      <c r="AT2" t="s">
        <v>9</v>
      </c>
    </row>
    <row r="3" spans="1:46" x14ac:dyDescent="0.25">
      <c r="B3" t="s">
        <v>74</v>
      </c>
      <c r="C3" t="s">
        <v>78</v>
      </c>
      <c r="D3" t="s">
        <v>75</v>
      </c>
      <c r="E3" t="s">
        <v>79</v>
      </c>
      <c r="F3" t="s">
        <v>76</v>
      </c>
      <c r="H3" t="s">
        <v>80</v>
      </c>
      <c r="I3" t="s">
        <v>77</v>
      </c>
      <c r="K3" t="s">
        <v>81</v>
      </c>
      <c r="M3" t="s">
        <v>74</v>
      </c>
      <c r="O3" t="s">
        <v>78</v>
      </c>
      <c r="P3" t="s">
        <v>75</v>
      </c>
      <c r="R3" t="s">
        <v>79</v>
      </c>
      <c r="S3" t="s">
        <v>76</v>
      </c>
      <c r="T3" t="s">
        <v>80</v>
      </c>
      <c r="U3" t="s">
        <v>77</v>
      </c>
      <c r="V3" t="s">
        <v>81</v>
      </c>
      <c r="X3" t="s">
        <v>74</v>
      </c>
      <c r="Y3" t="s">
        <v>78</v>
      </c>
      <c r="Z3" t="s">
        <v>75</v>
      </c>
      <c r="AA3" t="s">
        <v>79</v>
      </c>
      <c r="AB3" t="s">
        <v>76</v>
      </c>
      <c r="AD3" t="s">
        <v>80</v>
      </c>
      <c r="AE3" t="s">
        <v>77</v>
      </c>
      <c r="AG3" t="s">
        <v>81</v>
      </c>
      <c r="AI3" t="s">
        <v>74</v>
      </c>
      <c r="AK3" t="s">
        <v>78</v>
      </c>
      <c r="AL3" t="s">
        <v>75</v>
      </c>
      <c r="AN3" t="s">
        <v>79</v>
      </c>
      <c r="AO3" t="s">
        <v>76</v>
      </c>
      <c r="AP3" t="s">
        <v>80</v>
      </c>
      <c r="AQ3" t="s">
        <v>77</v>
      </c>
      <c r="AR3" t="s">
        <v>81</v>
      </c>
    </row>
    <row r="4" spans="1:46" x14ac:dyDescent="0.25">
      <c r="A4" s="1" t="s">
        <v>8</v>
      </c>
      <c r="B4" t="s">
        <v>90</v>
      </c>
      <c r="D4" t="s">
        <v>91</v>
      </c>
      <c r="F4" t="s">
        <v>88</v>
      </c>
      <c r="G4" t="s">
        <v>92</v>
      </c>
      <c r="I4" t="s">
        <v>89</v>
      </c>
      <c r="J4" t="s">
        <v>93</v>
      </c>
      <c r="M4" t="s">
        <v>94</v>
      </c>
      <c r="N4" t="s">
        <v>98</v>
      </c>
      <c r="P4" t="s">
        <v>95</v>
      </c>
      <c r="Q4" t="s">
        <v>99</v>
      </c>
      <c r="S4" t="s">
        <v>96</v>
      </c>
      <c r="U4" t="s">
        <v>97</v>
      </c>
      <c r="X4" t="s">
        <v>102</v>
      </c>
      <c r="Z4" t="s">
        <v>103</v>
      </c>
      <c r="AB4" t="s">
        <v>100</v>
      </c>
      <c r="AC4" t="s">
        <v>104</v>
      </c>
      <c r="AE4" t="s">
        <v>101</v>
      </c>
      <c r="AF4" t="s">
        <v>105</v>
      </c>
      <c r="AI4" t="s">
        <v>82</v>
      </c>
      <c r="AJ4" t="s">
        <v>86</v>
      </c>
      <c r="AL4" t="s">
        <v>83</v>
      </c>
      <c r="AM4" t="s">
        <v>87</v>
      </c>
      <c r="AO4" t="s">
        <v>84</v>
      </c>
      <c r="AQ4" t="s">
        <v>85</v>
      </c>
    </row>
    <row r="5" spans="1:46" x14ac:dyDescent="0.25">
      <c r="A5" s="2">
        <v>1993</v>
      </c>
      <c r="B5" s="3"/>
      <c r="C5" s="3"/>
      <c r="D5" s="3"/>
      <c r="E5" s="3"/>
      <c r="F5" s="3">
        <v>3.99</v>
      </c>
      <c r="G5" s="3"/>
      <c r="H5" s="3">
        <v>3.99</v>
      </c>
      <c r="I5" s="3"/>
      <c r="J5" s="3"/>
      <c r="K5" s="3"/>
      <c r="L5" s="3">
        <v>3.99</v>
      </c>
      <c r="M5" s="3">
        <v>5.77</v>
      </c>
      <c r="N5" s="3"/>
      <c r="O5" s="3">
        <v>5.77</v>
      </c>
      <c r="P5" s="3"/>
      <c r="Q5" s="3"/>
      <c r="R5" s="3"/>
      <c r="S5" s="3"/>
      <c r="T5" s="3"/>
      <c r="U5" s="3"/>
      <c r="V5" s="3"/>
      <c r="W5" s="3">
        <v>5.77</v>
      </c>
      <c r="X5" s="3"/>
      <c r="Y5" s="3"/>
      <c r="Z5" s="3"/>
      <c r="AA5" s="3"/>
      <c r="AB5" s="3">
        <v>4.3</v>
      </c>
      <c r="AC5" s="3"/>
      <c r="AD5" s="3">
        <v>4.3</v>
      </c>
      <c r="AE5" s="3"/>
      <c r="AF5" s="3"/>
      <c r="AG5" s="3"/>
      <c r="AH5" s="3">
        <v>4.3</v>
      </c>
      <c r="AI5" s="3">
        <v>10.039999999999999</v>
      </c>
      <c r="AJ5" s="3"/>
      <c r="AK5" s="3">
        <v>10.039999999999999</v>
      </c>
      <c r="AL5" s="3"/>
      <c r="AM5" s="3"/>
      <c r="AN5" s="3"/>
      <c r="AO5" s="3"/>
      <c r="AP5" s="3"/>
      <c r="AQ5" s="3"/>
      <c r="AR5" s="3"/>
      <c r="AS5" s="3">
        <v>10.039999999999999</v>
      </c>
      <c r="AT5" s="3">
        <v>24.099999999999998</v>
      </c>
    </row>
    <row r="6" spans="1:46" x14ac:dyDescent="0.25">
      <c r="A6" s="2">
        <v>2001</v>
      </c>
      <c r="B6" s="3"/>
      <c r="C6" s="3"/>
      <c r="D6" s="3"/>
      <c r="E6" s="3"/>
      <c r="F6" s="3"/>
      <c r="G6" s="3"/>
      <c r="H6" s="3"/>
      <c r="I6" s="3">
        <v>7.27</v>
      </c>
      <c r="J6" s="3"/>
      <c r="K6" s="3">
        <v>7.27</v>
      </c>
      <c r="L6" s="3">
        <v>7.27</v>
      </c>
      <c r="M6" s="3"/>
      <c r="N6" s="3"/>
      <c r="O6" s="3"/>
      <c r="P6" s="3">
        <v>2.61</v>
      </c>
      <c r="Q6" s="3"/>
      <c r="R6" s="3">
        <v>2.61</v>
      </c>
      <c r="S6" s="3"/>
      <c r="T6" s="3"/>
      <c r="U6" s="3"/>
      <c r="V6" s="3"/>
      <c r="W6" s="3">
        <v>2.61</v>
      </c>
      <c r="X6" s="3"/>
      <c r="Y6" s="3"/>
      <c r="Z6" s="3"/>
      <c r="AA6" s="3"/>
      <c r="AB6" s="3"/>
      <c r="AC6" s="3"/>
      <c r="AD6" s="3"/>
      <c r="AE6" s="3">
        <v>14.611000000000001</v>
      </c>
      <c r="AF6" s="3"/>
      <c r="AG6" s="3">
        <v>14.611000000000001</v>
      </c>
      <c r="AH6" s="3">
        <v>14.611000000000001</v>
      </c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>
        <v>24.491</v>
      </c>
    </row>
    <row r="7" spans="1:46" x14ac:dyDescent="0.25">
      <c r="A7" s="2">
        <v>2005</v>
      </c>
      <c r="B7" s="3">
        <v>11.15</v>
      </c>
      <c r="C7" s="3">
        <v>11.15</v>
      </c>
      <c r="D7" s="3"/>
      <c r="E7" s="3"/>
      <c r="F7" s="3"/>
      <c r="G7" s="3"/>
      <c r="H7" s="3"/>
      <c r="I7" s="3"/>
      <c r="J7" s="3"/>
      <c r="K7" s="3"/>
      <c r="L7" s="3">
        <v>11.15</v>
      </c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>
        <v>6.7770000000000001</v>
      </c>
      <c r="AP7" s="3">
        <v>6.7770000000000001</v>
      </c>
      <c r="AQ7" s="3"/>
      <c r="AR7" s="3"/>
      <c r="AS7" s="3">
        <v>6.7770000000000001</v>
      </c>
      <c r="AT7" s="3">
        <v>17.927</v>
      </c>
    </row>
    <row r="8" spans="1:46" x14ac:dyDescent="0.25">
      <c r="A8" s="2">
        <v>2008</v>
      </c>
      <c r="B8" s="3"/>
      <c r="C8" s="3"/>
      <c r="D8" s="3">
        <v>0.126</v>
      </c>
      <c r="E8" s="3">
        <v>0.126</v>
      </c>
      <c r="F8" s="3"/>
      <c r="G8" s="3"/>
      <c r="H8" s="3"/>
      <c r="I8" s="3"/>
      <c r="J8" s="3"/>
      <c r="K8" s="3"/>
      <c r="L8" s="3">
        <v>0.126</v>
      </c>
      <c r="M8" s="3"/>
      <c r="N8" s="3"/>
      <c r="O8" s="3"/>
      <c r="P8" s="3"/>
      <c r="Q8" s="3"/>
      <c r="R8" s="3"/>
      <c r="S8" s="3"/>
      <c r="T8" s="3"/>
      <c r="U8" s="3">
        <v>11.807</v>
      </c>
      <c r="V8" s="3">
        <v>11.807</v>
      </c>
      <c r="W8" s="3">
        <v>11.807</v>
      </c>
      <c r="X8" s="3"/>
      <c r="Y8" s="3"/>
      <c r="Z8" s="3">
        <v>3.69</v>
      </c>
      <c r="AA8" s="3">
        <v>3.69</v>
      </c>
      <c r="AB8" s="3"/>
      <c r="AC8" s="3"/>
      <c r="AD8" s="3"/>
      <c r="AE8" s="3"/>
      <c r="AF8" s="3"/>
      <c r="AG8" s="3"/>
      <c r="AH8" s="3">
        <v>3.69</v>
      </c>
      <c r="AI8" s="3"/>
      <c r="AJ8" s="3"/>
      <c r="AK8" s="3"/>
      <c r="AL8" s="3"/>
      <c r="AM8" s="3"/>
      <c r="AN8" s="3"/>
      <c r="AO8" s="3"/>
      <c r="AP8" s="3"/>
      <c r="AQ8" s="3">
        <v>8.5670000000000002</v>
      </c>
      <c r="AR8" s="3">
        <v>8.5670000000000002</v>
      </c>
      <c r="AS8" s="3">
        <v>8.5670000000000002</v>
      </c>
      <c r="AT8" s="3">
        <v>24.189999999999998</v>
      </c>
    </row>
    <row r="9" spans="1:46" x14ac:dyDescent="0.25">
      <c r="A9" s="2">
        <v>2010</v>
      </c>
      <c r="B9" s="3"/>
      <c r="C9" s="3"/>
      <c r="D9" s="3"/>
      <c r="E9" s="3"/>
      <c r="F9" s="3"/>
      <c r="G9" s="3">
        <v>2.78</v>
      </c>
      <c r="H9" s="3">
        <v>2.78</v>
      </c>
      <c r="I9" s="3"/>
      <c r="J9" s="3"/>
      <c r="K9" s="3"/>
      <c r="L9" s="3">
        <v>2.78</v>
      </c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>
        <v>2.78</v>
      </c>
    </row>
    <row r="10" spans="1:46" x14ac:dyDescent="0.25">
      <c r="A10" s="2">
        <v>2011</v>
      </c>
      <c r="B10" s="3"/>
      <c r="C10" s="3"/>
      <c r="D10" s="3"/>
      <c r="E10" s="3"/>
      <c r="F10" s="3"/>
      <c r="G10" s="3"/>
      <c r="H10" s="3"/>
      <c r="I10" s="3"/>
      <c r="J10" s="3">
        <v>3.077</v>
      </c>
      <c r="K10" s="3">
        <v>3.077</v>
      </c>
      <c r="L10" s="3">
        <v>3.077</v>
      </c>
      <c r="M10" s="3"/>
      <c r="N10" s="3"/>
      <c r="O10" s="3"/>
      <c r="P10" s="3"/>
      <c r="Q10" s="3">
        <v>0.02</v>
      </c>
      <c r="R10" s="3">
        <v>0.02</v>
      </c>
      <c r="S10" s="3"/>
      <c r="T10" s="3"/>
      <c r="U10" s="3"/>
      <c r="V10" s="3"/>
      <c r="W10" s="3">
        <v>0.02</v>
      </c>
      <c r="X10" s="3"/>
      <c r="Y10" s="3"/>
      <c r="Z10" s="3"/>
      <c r="AA10" s="3"/>
      <c r="AB10" s="3"/>
      <c r="AC10" s="3"/>
      <c r="AD10" s="3"/>
      <c r="AE10" s="3"/>
      <c r="AF10" s="3">
        <v>8.5999999999999993E-2</v>
      </c>
      <c r="AG10" s="3">
        <v>8.5999999999999993E-2</v>
      </c>
      <c r="AH10" s="3">
        <v>8.5999999999999993E-2</v>
      </c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>
        <v>3.1829999999999998</v>
      </c>
    </row>
    <row r="11" spans="1:46" x14ac:dyDescent="0.25">
      <c r="A11" s="2" t="s">
        <v>9</v>
      </c>
      <c r="B11" s="3">
        <v>11.15</v>
      </c>
      <c r="C11" s="3">
        <v>11.15</v>
      </c>
      <c r="D11" s="3">
        <v>0.126</v>
      </c>
      <c r="E11" s="3">
        <v>0.126</v>
      </c>
      <c r="F11" s="3">
        <v>3.99</v>
      </c>
      <c r="G11" s="3">
        <v>2.78</v>
      </c>
      <c r="H11" s="3">
        <v>6.77</v>
      </c>
      <c r="I11" s="3">
        <v>7.27</v>
      </c>
      <c r="J11" s="3">
        <v>3.077</v>
      </c>
      <c r="K11" s="3">
        <v>10.347</v>
      </c>
      <c r="L11" s="3">
        <v>28.393000000000001</v>
      </c>
      <c r="M11" s="3">
        <v>5.77</v>
      </c>
      <c r="N11" s="3"/>
      <c r="O11" s="3">
        <v>5.77</v>
      </c>
      <c r="P11" s="3">
        <v>2.61</v>
      </c>
      <c r="Q11" s="3">
        <v>0.02</v>
      </c>
      <c r="R11" s="3">
        <v>2.63</v>
      </c>
      <c r="S11" s="3"/>
      <c r="T11" s="3"/>
      <c r="U11" s="3">
        <v>11.807</v>
      </c>
      <c r="V11" s="3">
        <v>11.807</v>
      </c>
      <c r="W11" s="3">
        <v>20.206999999999997</v>
      </c>
      <c r="X11" s="3"/>
      <c r="Y11" s="3"/>
      <c r="Z11" s="3">
        <v>3.69</v>
      </c>
      <c r="AA11" s="3">
        <v>3.69</v>
      </c>
      <c r="AB11" s="3">
        <v>4.3</v>
      </c>
      <c r="AC11" s="3"/>
      <c r="AD11" s="3">
        <v>4.3</v>
      </c>
      <c r="AE11" s="3">
        <v>14.611000000000001</v>
      </c>
      <c r="AF11" s="3">
        <v>8.5999999999999993E-2</v>
      </c>
      <c r="AG11" s="3">
        <v>14.697000000000001</v>
      </c>
      <c r="AH11" s="3">
        <v>22.687000000000001</v>
      </c>
      <c r="AI11" s="3">
        <v>10.039999999999999</v>
      </c>
      <c r="AJ11" s="3"/>
      <c r="AK11" s="3">
        <v>10.039999999999999</v>
      </c>
      <c r="AL11" s="3"/>
      <c r="AM11" s="3"/>
      <c r="AN11" s="3"/>
      <c r="AO11" s="3">
        <v>6.7770000000000001</v>
      </c>
      <c r="AP11" s="3">
        <v>6.7770000000000001</v>
      </c>
      <c r="AQ11" s="3">
        <v>8.5670000000000002</v>
      </c>
      <c r="AR11" s="3">
        <v>8.5670000000000002</v>
      </c>
      <c r="AS11" s="3">
        <v>25.384</v>
      </c>
      <c r="AT11" s="3">
        <v>96.670999999999992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50"/>
  <sheetViews>
    <sheetView tabSelected="1" zoomScale="55" zoomScaleNormal="55" workbookViewId="0">
      <selection activeCell="H2" sqref="H2:U11"/>
    </sheetView>
  </sheetViews>
  <sheetFormatPr defaultRowHeight="15" x14ac:dyDescent="0.25"/>
  <cols>
    <col min="1" max="1" width="10.7109375" customWidth="1"/>
    <col min="2" max="2" width="22.5703125" customWidth="1"/>
    <col min="3" max="3" width="10.28515625" customWidth="1"/>
    <col min="4" max="4" width="19.42578125" customWidth="1"/>
    <col min="5" max="5" width="12.5703125" customWidth="1"/>
    <col min="6" max="6" width="9" bestFit="1" customWidth="1"/>
    <col min="7" max="7" width="14.140625" customWidth="1"/>
    <col min="8" max="8" width="8.28515625" bestFit="1" customWidth="1"/>
    <col min="9" max="9" width="7" bestFit="1" customWidth="1"/>
    <col min="10" max="10" width="5.5703125" bestFit="1" customWidth="1"/>
    <col min="11" max="11" width="8.42578125" bestFit="1" customWidth="1"/>
    <col min="12" max="12" width="8.5703125" bestFit="1" customWidth="1"/>
    <col min="13" max="13" width="8" bestFit="1" customWidth="1"/>
    <col min="14" max="14" width="22.5703125" customWidth="1"/>
    <col min="15" max="15" width="6.140625" bestFit="1" customWidth="1"/>
    <col min="16" max="16" width="7.140625" bestFit="1" customWidth="1"/>
    <col min="17" max="17" width="6.140625" bestFit="1" customWidth="1"/>
    <col min="18" max="18" width="7.140625" bestFit="1" customWidth="1"/>
    <col min="19" max="19" width="6.140625" bestFit="1" customWidth="1"/>
    <col min="20" max="20" width="3.5703125" bestFit="1" customWidth="1"/>
    <col min="21" max="21" width="4.140625" bestFit="1" customWidth="1"/>
    <col min="22" max="22" width="3.5703125" bestFit="1" customWidth="1"/>
    <col min="23" max="27" width="4.5703125" bestFit="1" customWidth="1"/>
  </cols>
  <sheetData>
    <row r="1" spans="1:28" x14ac:dyDescent="0.25">
      <c r="A1" s="6" t="s">
        <v>0</v>
      </c>
      <c r="B1" s="6" t="s">
        <v>7</v>
      </c>
      <c r="C1" s="6" t="s">
        <v>1</v>
      </c>
      <c r="D1" s="6" t="s">
        <v>2</v>
      </c>
      <c r="E1" s="6" t="s">
        <v>26</v>
      </c>
      <c r="G1" s="6"/>
      <c r="H1" s="6" t="s">
        <v>3</v>
      </c>
      <c r="I1" s="6" t="s">
        <v>4</v>
      </c>
      <c r="J1" s="6" t="s">
        <v>5</v>
      </c>
      <c r="K1" s="6" t="s">
        <v>6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23</v>
      </c>
      <c r="T1" s="6" t="s">
        <v>24</v>
      </c>
      <c r="U1" s="6" t="s">
        <v>25</v>
      </c>
    </row>
    <row r="2" spans="1:28" x14ac:dyDescent="0.25">
      <c r="A2" s="6">
        <v>1993</v>
      </c>
      <c r="B2" s="6" t="s">
        <v>3</v>
      </c>
      <c r="C2" s="6">
        <v>10.039999999999999</v>
      </c>
      <c r="D2" s="6" t="s">
        <v>74</v>
      </c>
      <c r="E2" s="6" t="s">
        <v>82</v>
      </c>
      <c r="G2" s="6">
        <v>1992</v>
      </c>
      <c r="H2" s="6">
        <v>10</v>
      </c>
      <c r="I2" s="6">
        <v>1.07</v>
      </c>
      <c r="J2" s="6">
        <v>39.53</v>
      </c>
      <c r="K2" s="6">
        <v>7.9829999999999997</v>
      </c>
      <c r="L2" s="6"/>
      <c r="M2" s="6"/>
      <c r="N2" s="6"/>
      <c r="O2" s="6"/>
      <c r="P2" s="6"/>
      <c r="Q2" s="6"/>
      <c r="R2" s="6"/>
      <c r="S2" s="6"/>
      <c r="T2" s="6"/>
      <c r="U2" s="6"/>
    </row>
    <row r="3" spans="1:28" x14ac:dyDescent="0.25">
      <c r="A3" s="6">
        <v>2001</v>
      </c>
      <c r="B3" s="6" t="s">
        <v>3</v>
      </c>
      <c r="C3" s="6"/>
      <c r="D3" s="6" t="s">
        <v>75</v>
      </c>
      <c r="E3" s="6" t="s">
        <v>83</v>
      </c>
      <c r="G3" s="6">
        <v>1993</v>
      </c>
      <c r="H3" s="6">
        <v>24.524000000000001</v>
      </c>
      <c r="I3" s="6">
        <v>1.776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8" x14ac:dyDescent="0.25">
      <c r="A4" s="6">
        <v>2005</v>
      </c>
      <c r="B4" s="6" t="s">
        <v>3</v>
      </c>
      <c r="C4" s="6">
        <v>6.7770000000000001</v>
      </c>
      <c r="D4" s="6" t="s">
        <v>76</v>
      </c>
      <c r="E4" s="6" t="s">
        <v>84</v>
      </c>
      <c r="G4" s="6">
        <v>2000</v>
      </c>
      <c r="H4" s="6">
        <v>50.6</v>
      </c>
      <c r="I4" s="6">
        <v>7.9829999999999997</v>
      </c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spans="1:28" x14ac:dyDescent="0.25">
      <c r="A5" s="6">
        <v>2008</v>
      </c>
      <c r="B5" s="6" t="s">
        <v>3</v>
      </c>
      <c r="C5" s="6">
        <v>8.5670000000000002</v>
      </c>
      <c r="D5" s="6" t="s">
        <v>77</v>
      </c>
      <c r="E5" s="6" t="s">
        <v>85</v>
      </c>
      <c r="G5" s="6">
        <v>2001</v>
      </c>
      <c r="H5" s="6">
        <v>0</v>
      </c>
      <c r="I5" s="6">
        <v>8.1999999999999993</v>
      </c>
      <c r="J5" s="6">
        <v>0</v>
      </c>
      <c r="K5" s="6">
        <v>4.2859999999999996</v>
      </c>
      <c r="L5" s="6">
        <v>23.013999999999999</v>
      </c>
      <c r="M5" s="6">
        <v>4</v>
      </c>
      <c r="N5" s="6">
        <v>0</v>
      </c>
      <c r="O5" s="6">
        <v>2.5</v>
      </c>
      <c r="P5" s="6">
        <v>0</v>
      </c>
      <c r="Q5" s="6">
        <v>1</v>
      </c>
      <c r="R5" s="6">
        <v>0</v>
      </c>
      <c r="S5" s="6">
        <v>5</v>
      </c>
      <c r="T5" s="6">
        <v>0</v>
      </c>
      <c r="U5" s="6">
        <v>2.6</v>
      </c>
    </row>
    <row r="6" spans="1:28" x14ac:dyDescent="0.25">
      <c r="A6" s="6">
        <v>2010</v>
      </c>
      <c r="B6" s="6" t="s">
        <v>3</v>
      </c>
      <c r="C6" s="6"/>
      <c r="D6" s="6" t="s">
        <v>74</v>
      </c>
      <c r="E6" s="6" t="s">
        <v>86</v>
      </c>
      <c r="G6" s="6">
        <v>2004</v>
      </c>
      <c r="H6" s="6">
        <v>16.100000000000001</v>
      </c>
      <c r="I6" s="6">
        <v>3.6150000000000002</v>
      </c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</row>
    <row r="7" spans="1:28" x14ac:dyDescent="0.25">
      <c r="A7" s="6">
        <v>2011</v>
      </c>
      <c r="B7" s="6" t="s">
        <v>3</v>
      </c>
      <c r="C7" s="6"/>
      <c r="D7" s="6" t="s">
        <v>75</v>
      </c>
      <c r="E7" s="6" t="s">
        <v>87</v>
      </c>
      <c r="G7" s="6">
        <v>2005</v>
      </c>
      <c r="H7" s="6">
        <v>19.885000000000002</v>
      </c>
      <c r="I7" s="6">
        <v>5.1150000000000002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</row>
    <row r="8" spans="1:28" x14ac:dyDescent="0.25">
      <c r="A8" s="6">
        <v>1993</v>
      </c>
      <c r="B8" s="6" t="s">
        <v>4</v>
      </c>
      <c r="C8" s="6">
        <v>3.99</v>
      </c>
      <c r="D8" s="6" t="s">
        <v>76</v>
      </c>
      <c r="E8" s="6" t="s">
        <v>88</v>
      </c>
      <c r="G8" s="6">
        <v>2006</v>
      </c>
      <c r="H8" s="6">
        <v>50.6</v>
      </c>
      <c r="I8" s="6">
        <v>7.9829999999999997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8" x14ac:dyDescent="0.25">
      <c r="A9" s="6">
        <v>2001</v>
      </c>
      <c r="B9" s="6" t="s">
        <v>4</v>
      </c>
      <c r="C9" s="6">
        <v>7.27</v>
      </c>
      <c r="D9" s="6" t="s">
        <v>77</v>
      </c>
      <c r="E9" s="6" t="s">
        <v>89</v>
      </c>
      <c r="G9" s="6">
        <v>2009</v>
      </c>
      <c r="H9" s="6">
        <v>19.885000000000002</v>
      </c>
      <c r="I9" s="6">
        <v>4.6189999999999998</v>
      </c>
      <c r="J9" s="6">
        <v>26.096</v>
      </c>
      <c r="K9" s="6">
        <v>7.9829999999999997</v>
      </c>
      <c r="L9" s="6"/>
      <c r="M9" s="6"/>
      <c r="N9" s="6"/>
      <c r="O9" s="6"/>
      <c r="P9" s="6"/>
      <c r="Q9" s="6"/>
      <c r="R9" s="6"/>
      <c r="S9" s="6"/>
      <c r="T9" s="6"/>
      <c r="U9" s="6"/>
    </row>
    <row r="10" spans="1:28" x14ac:dyDescent="0.25">
      <c r="A10" s="6">
        <v>2005</v>
      </c>
      <c r="B10" s="6" t="s">
        <v>4</v>
      </c>
      <c r="C10" s="6">
        <v>11.15</v>
      </c>
      <c r="D10" s="6" t="s">
        <v>74</v>
      </c>
      <c r="E10" s="6" t="s">
        <v>90</v>
      </c>
      <c r="G10" s="6">
        <v>2010</v>
      </c>
      <c r="H10" s="6">
        <v>16.2</v>
      </c>
      <c r="I10" s="6">
        <v>0.1</v>
      </c>
      <c r="J10" s="6">
        <v>0</v>
      </c>
      <c r="K10" s="6">
        <v>0.1</v>
      </c>
      <c r="L10" s="6">
        <v>34.200000000000003</v>
      </c>
      <c r="M10" s="6">
        <v>7.9829999999999997</v>
      </c>
      <c r="N10" s="6"/>
      <c r="O10" s="6"/>
      <c r="P10" s="6"/>
      <c r="Q10" s="6"/>
      <c r="R10" s="6"/>
      <c r="S10" s="6"/>
      <c r="T10" s="6"/>
      <c r="U10" s="6"/>
    </row>
    <row r="11" spans="1:28" x14ac:dyDescent="0.25">
      <c r="A11" s="6">
        <v>2008</v>
      </c>
      <c r="B11" s="6" t="s">
        <v>4</v>
      </c>
      <c r="C11" s="6">
        <v>0.126</v>
      </c>
      <c r="D11" s="6" t="s">
        <v>75</v>
      </c>
      <c r="E11" s="6" t="s">
        <v>91</v>
      </c>
      <c r="G11" s="6">
        <v>2012</v>
      </c>
      <c r="H11" s="6">
        <v>30.5</v>
      </c>
      <c r="I11" s="6">
        <v>5</v>
      </c>
      <c r="J11" s="6">
        <v>0</v>
      </c>
      <c r="K11" s="6">
        <v>15.1</v>
      </c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1:28" x14ac:dyDescent="0.25">
      <c r="A12" s="6">
        <v>2010</v>
      </c>
      <c r="B12" s="6" t="s">
        <v>4</v>
      </c>
      <c r="C12" s="6">
        <v>2.78</v>
      </c>
      <c r="D12" s="6" t="s">
        <v>76</v>
      </c>
      <c r="E12" s="6" t="s">
        <v>92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</row>
    <row r="13" spans="1:28" x14ac:dyDescent="0.25">
      <c r="A13" s="6">
        <v>2011</v>
      </c>
      <c r="B13" s="6" t="s">
        <v>4</v>
      </c>
      <c r="C13" s="6">
        <v>3.077</v>
      </c>
      <c r="D13" s="6" t="s">
        <v>77</v>
      </c>
      <c r="E13" s="6" t="s">
        <v>93</v>
      </c>
    </row>
    <row r="14" spans="1:28" x14ac:dyDescent="0.25">
      <c r="A14" s="6">
        <v>1993</v>
      </c>
      <c r="B14" s="6" t="s">
        <v>5</v>
      </c>
      <c r="C14" s="6">
        <v>5.77</v>
      </c>
      <c r="D14" s="6" t="s">
        <v>74</v>
      </c>
      <c r="E14" s="6" t="s">
        <v>94</v>
      </c>
    </row>
    <row r="15" spans="1:28" x14ac:dyDescent="0.25">
      <c r="A15" s="6">
        <v>2001</v>
      </c>
      <c r="B15" s="6" t="s">
        <v>5</v>
      </c>
      <c r="C15" s="6">
        <v>2.61</v>
      </c>
      <c r="D15" s="6" t="s">
        <v>75</v>
      </c>
      <c r="E15" s="6" t="s">
        <v>95</v>
      </c>
    </row>
    <row r="16" spans="1:28" x14ac:dyDescent="0.25">
      <c r="A16" s="6">
        <v>2005</v>
      </c>
      <c r="B16" s="6" t="s">
        <v>5</v>
      </c>
      <c r="C16" s="6"/>
      <c r="D16" s="6" t="s">
        <v>76</v>
      </c>
      <c r="E16" s="6" t="s">
        <v>96</v>
      </c>
    </row>
    <row r="17" spans="1:14" x14ac:dyDescent="0.25">
      <c r="A17" s="6">
        <v>2008</v>
      </c>
      <c r="B17" s="6" t="s">
        <v>5</v>
      </c>
      <c r="C17" s="6">
        <v>11.807</v>
      </c>
      <c r="D17" s="6" t="s">
        <v>77</v>
      </c>
      <c r="E17" s="6" t="s">
        <v>97</v>
      </c>
    </row>
    <row r="18" spans="1:14" x14ac:dyDescent="0.25">
      <c r="A18" s="6">
        <v>2010</v>
      </c>
      <c r="B18" s="6" t="s">
        <v>5</v>
      </c>
      <c r="C18" s="6"/>
      <c r="D18" s="6" t="s">
        <v>74</v>
      </c>
      <c r="E18" s="6" t="s">
        <v>98</v>
      </c>
    </row>
    <row r="19" spans="1:14" x14ac:dyDescent="0.25">
      <c r="A19" s="6">
        <v>2011</v>
      </c>
      <c r="B19" s="6" t="s">
        <v>5</v>
      </c>
      <c r="C19" s="6">
        <v>0.02</v>
      </c>
      <c r="D19" s="6" t="s">
        <v>75</v>
      </c>
      <c r="E19" s="6" t="s">
        <v>99</v>
      </c>
    </row>
    <row r="20" spans="1:14" x14ac:dyDescent="0.25">
      <c r="A20" s="6">
        <v>1993</v>
      </c>
      <c r="B20" s="6" t="s">
        <v>6</v>
      </c>
      <c r="C20" s="6">
        <v>4.3</v>
      </c>
      <c r="D20" s="6" t="s">
        <v>76</v>
      </c>
      <c r="E20" s="6" t="s">
        <v>100</v>
      </c>
    </row>
    <row r="21" spans="1:14" x14ac:dyDescent="0.25">
      <c r="A21" s="6">
        <v>2001</v>
      </c>
      <c r="B21" s="6" t="s">
        <v>6</v>
      </c>
      <c r="C21" s="6">
        <v>14.611000000000001</v>
      </c>
      <c r="D21" s="6" t="s">
        <v>77</v>
      </c>
      <c r="E21" s="6" t="s">
        <v>101</v>
      </c>
    </row>
    <row r="22" spans="1:14" x14ac:dyDescent="0.25">
      <c r="A22" s="6">
        <v>2005</v>
      </c>
      <c r="B22" s="6" t="s">
        <v>6</v>
      </c>
      <c r="C22" s="6"/>
      <c r="D22" s="6" t="s">
        <v>74</v>
      </c>
      <c r="E22" s="6" t="s">
        <v>102</v>
      </c>
    </row>
    <row r="23" spans="1:14" x14ac:dyDescent="0.25">
      <c r="A23" s="6">
        <v>2008</v>
      </c>
      <c r="B23" s="6" t="s">
        <v>6</v>
      </c>
      <c r="C23" s="6">
        <v>3.69</v>
      </c>
      <c r="D23" s="6" t="s">
        <v>75</v>
      </c>
      <c r="E23" s="6" t="s">
        <v>103</v>
      </c>
    </row>
    <row r="24" spans="1:14" x14ac:dyDescent="0.25">
      <c r="A24" s="6">
        <v>2010</v>
      </c>
      <c r="B24" s="6" t="s">
        <v>6</v>
      </c>
      <c r="C24" s="6"/>
      <c r="D24" s="6" t="s">
        <v>76</v>
      </c>
      <c r="E24" s="6" t="s">
        <v>104</v>
      </c>
    </row>
    <row r="25" spans="1:14" x14ac:dyDescent="0.25">
      <c r="A25" s="6">
        <v>2011</v>
      </c>
      <c r="B25" s="6" t="s">
        <v>6</v>
      </c>
      <c r="C25" s="6">
        <v>8.5999999999999993E-2</v>
      </c>
      <c r="D25" s="6" t="s">
        <v>77</v>
      </c>
      <c r="E25" s="6" t="s">
        <v>105</v>
      </c>
    </row>
    <row r="29" spans="1:14" x14ac:dyDescent="0.25">
      <c r="A29" t="s">
        <v>26</v>
      </c>
      <c r="B29" t="s">
        <v>27</v>
      </c>
      <c r="C29" t="s">
        <v>28</v>
      </c>
      <c r="D29" t="s">
        <v>29</v>
      </c>
      <c r="E29" t="s">
        <v>30</v>
      </c>
      <c r="F29" t="s">
        <v>31</v>
      </c>
      <c r="G29" t="s">
        <v>32</v>
      </c>
      <c r="H29" t="s">
        <v>33</v>
      </c>
    </row>
    <row r="30" spans="1:14" x14ac:dyDescent="0.25">
      <c r="A30" t="s">
        <v>51</v>
      </c>
      <c r="B30" t="s">
        <v>35</v>
      </c>
      <c r="C30" t="s">
        <v>36</v>
      </c>
      <c r="D30" t="s">
        <v>37</v>
      </c>
      <c r="E30" s="4">
        <v>1992</v>
      </c>
      <c r="F30" s="4">
        <v>10</v>
      </c>
      <c r="G30" s="4">
        <v>11.07</v>
      </c>
      <c r="H30" s="4">
        <v>1.07</v>
      </c>
      <c r="L30">
        <v>1992</v>
      </c>
      <c r="M30">
        <v>10</v>
      </c>
      <c r="N30" t="e">
        <f>VLOOKUP(M30, A29:H50, 2)</f>
        <v>#N/A</v>
      </c>
    </row>
    <row r="31" spans="1:14" x14ac:dyDescent="0.25">
      <c r="A31" t="s">
        <v>34</v>
      </c>
      <c r="B31" t="s">
        <v>35</v>
      </c>
      <c r="C31" t="s">
        <v>36</v>
      </c>
      <c r="D31" t="s">
        <v>37</v>
      </c>
      <c r="E31" s="4">
        <v>1992</v>
      </c>
      <c r="F31" s="4">
        <v>50.6</v>
      </c>
      <c r="G31" s="4">
        <v>58.582999999999998</v>
      </c>
      <c r="H31" s="4">
        <v>7.9829999999999997</v>
      </c>
      <c r="L31">
        <v>1992</v>
      </c>
      <c r="M31">
        <v>1.07</v>
      </c>
      <c r="N31" t="e">
        <f>VLOOKUP(M31,B30:H50, 7)</f>
        <v>#N/A</v>
      </c>
    </row>
    <row r="32" spans="1:14" x14ac:dyDescent="0.25">
      <c r="A32" t="s">
        <v>38</v>
      </c>
      <c r="B32" t="s">
        <v>35</v>
      </c>
      <c r="C32" t="s">
        <v>36</v>
      </c>
      <c r="D32" t="s">
        <v>37</v>
      </c>
      <c r="E32" s="4">
        <v>1993</v>
      </c>
      <c r="F32" s="4">
        <v>24.524000000000001</v>
      </c>
      <c r="G32" s="4">
        <v>26.3</v>
      </c>
      <c r="H32" s="4">
        <v>1.776</v>
      </c>
      <c r="L32">
        <v>1992</v>
      </c>
      <c r="M32">
        <f>F31-G30</f>
        <v>39.53</v>
      </c>
      <c r="N32" t="e">
        <f t="shared" ref="N31:N37" si="0">VLOOKUP(M32,$B$30:$H$50, 7)</f>
        <v>#N/A</v>
      </c>
    </row>
    <row r="33" spans="1:14" x14ac:dyDescent="0.25">
      <c r="A33" t="s">
        <v>39</v>
      </c>
      <c r="B33" t="s">
        <v>40</v>
      </c>
      <c r="C33" t="s">
        <v>36</v>
      </c>
      <c r="D33" t="s">
        <v>37</v>
      </c>
      <c r="E33" s="4">
        <v>2000</v>
      </c>
      <c r="F33" s="4">
        <v>50.6</v>
      </c>
      <c r="G33" s="4">
        <v>58.582999999999998</v>
      </c>
      <c r="H33" s="4">
        <v>7.9829999999999997</v>
      </c>
      <c r="L33">
        <v>1992</v>
      </c>
      <c r="M33">
        <f>H31</f>
        <v>7.9829999999999997</v>
      </c>
      <c r="N33" t="e">
        <f t="shared" si="0"/>
        <v>#N/A</v>
      </c>
    </row>
    <row r="34" spans="1:14" x14ac:dyDescent="0.25">
      <c r="A34" t="s">
        <v>52</v>
      </c>
      <c r="B34" t="s">
        <v>44</v>
      </c>
      <c r="C34" t="s">
        <v>36</v>
      </c>
      <c r="D34" t="s">
        <v>37</v>
      </c>
      <c r="E34" s="4">
        <v>2001</v>
      </c>
      <c r="F34" s="4">
        <v>0</v>
      </c>
      <c r="G34" s="4">
        <v>8.1999999999999993</v>
      </c>
      <c r="H34" s="4">
        <v>8.1999999999999993</v>
      </c>
      <c r="L34">
        <v>1993</v>
      </c>
      <c r="M34">
        <v>24.524000000000001</v>
      </c>
      <c r="N34" t="e">
        <f t="shared" si="0"/>
        <v>#N/A</v>
      </c>
    </row>
    <row r="35" spans="1:14" x14ac:dyDescent="0.25">
      <c r="A35" t="s">
        <v>53</v>
      </c>
      <c r="B35" t="s">
        <v>35</v>
      </c>
      <c r="C35" t="s">
        <v>36</v>
      </c>
      <c r="D35" t="s">
        <v>37</v>
      </c>
      <c r="E35" s="4">
        <v>2001</v>
      </c>
      <c r="F35" s="4">
        <v>8.1999999999999993</v>
      </c>
      <c r="G35" s="4">
        <v>12.486000000000001</v>
      </c>
      <c r="H35" s="4">
        <v>4.2859999999999996</v>
      </c>
      <c r="L35">
        <v>1993</v>
      </c>
      <c r="M35">
        <v>1.776</v>
      </c>
      <c r="N35" t="e">
        <f t="shared" si="0"/>
        <v>#N/A</v>
      </c>
    </row>
    <row r="36" spans="1:14" x14ac:dyDescent="0.25">
      <c r="A36" t="s">
        <v>41</v>
      </c>
      <c r="B36" t="s">
        <v>42</v>
      </c>
      <c r="C36" t="s">
        <v>36</v>
      </c>
      <c r="D36" t="s">
        <v>37</v>
      </c>
      <c r="E36" s="4">
        <v>2001</v>
      </c>
      <c r="F36" s="4">
        <v>35.5</v>
      </c>
      <c r="G36" s="4">
        <v>39.5</v>
      </c>
      <c r="H36" s="4">
        <v>4</v>
      </c>
      <c r="L36">
        <v>2000</v>
      </c>
      <c r="M36">
        <v>50.6</v>
      </c>
      <c r="N36" t="e">
        <f t="shared" si="0"/>
        <v>#N/A</v>
      </c>
    </row>
    <row r="37" spans="1:14" x14ac:dyDescent="0.25">
      <c r="A37" t="s">
        <v>41</v>
      </c>
      <c r="B37" t="s">
        <v>42</v>
      </c>
      <c r="C37" t="s">
        <v>36</v>
      </c>
      <c r="D37" t="s">
        <v>37</v>
      </c>
      <c r="E37" s="4">
        <v>2001</v>
      </c>
      <c r="F37" s="4">
        <v>39.5</v>
      </c>
      <c r="G37" s="4">
        <v>42</v>
      </c>
      <c r="H37" s="4">
        <v>2.5</v>
      </c>
      <c r="L37">
        <v>2000</v>
      </c>
      <c r="M37">
        <v>7.9829999999999997</v>
      </c>
      <c r="N37" t="e">
        <f t="shared" si="0"/>
        <v>#N/A</v>
      </c>
    </row>
    <row r="38" spans="1:14" x14ac:dyDescent="0.25">
      <c r="A38" t="s">
        <v>41</v>
      </c>
      <c r="B38" t="s">
        <v>42</v>
      </c>
      <c r="C38" t="s">
        <v>36</v>
      </c>
      <c r="D38" t="s">
        <v>37</v>
      </c>
      <c r="E38" s="4">
        <v>2001</v>
      </c>
      <c r="F38" s="4">
        <v>42</v>
      </c>
      <c r="G38" s="4">
        <v>43</v>
      </c>
      <c r="H38" s="4">
        <v>1</v>
      </c>
    </row>
    <row r="39" spans="1:14" x14ac:dyDescent="0.25">
      <c r="A39" t="s">
        <v>41</v>
      </c>
      <c r="B39" t="s">
        <v>44</v>
      </c>
      <c r="C39" t="s">
        <v>36</v>
      </c>
      <c r="D39" t="s">
        <v>37</v>
      </c>
      <c r="E39" s="4">
        <v>2001</v>
      </c>
      <c r="F39" s="4">
        <v>43</v>
      </c>
      <c r="G39" s="4">
        <v>48</v>
      </c>
      <c r="H39" s="4">
        <v>5</v>
      </c>
    </row>
    <row r="40" spans="1:14" x14ac:dyDescent="0.25">
      <c r="A40" t="s">
        <v>41</v>
      </c>
      <c r="B40" t="s">
        <v>42</v>
      </c>
      <c r="C40" t="s">
        <v>36</v>
      </c>
      <c r="D40" t="s">
        <v>37</v>
      </c>
      <c r="E40" s="4">
        <v>2001</v>
      </c>
      <c r="F40" s="4">
        <v>48</v>
      </c>
      <c r="G40" s="4">
        <v>50.6</v>
      </c>
      <c r="H40" s="4">
        <v>2.6</v>
      </c>
    </row>
    <row r="41" spans="1:14" x14ac:dyDescent="0.25">
      <c r="A41" t="s">
        <v>43</v>
      </c>
      <c r="B41" t="s">
        <v>44</v>
      </c>
      <c r="C41" t="s">
        <v>36</v>
      </c>
      <c r="D41" t="s">
        <v>37</v>
      </c>
      <c r="E41" s="4">
        <v>2004</v>
      </c>
      <c r="F41" s="4">
        <v>16.100000000000001</v>
      </c>
      <c r="G41" s="4">
        <v>19.715</v>
      </c>
      <c r="H41" s="4">
        <v>3.6150000000000002</v>
      </c>
    </row>
    <row r="42" spans="1:14" x14ac:dyDescent="0.25">
      <c r="A42" t="s">
        <v>45</v>
      </c>
      <c r="B42" t="s">
        <v>46</v>
      </c>
      <c r="C42" t="s">
        <v>36</v>
      </c>
      <c r="D42" t="s">
        <v>37</v>
      </c>
      <c r="E42" s="4">
        <v>2005</v>
      </c>
      <c r="F42" s="4">
        <v>19.885000000000002</v>
      </c>
      <c r="G42" s="4">
        <v>25</v>
      </c>
      <c r="H42" s="4">
        <v>5.1150000000000002</v>
      </c>
    </row>
    <row r="43" spans="1:14" x14ac:dyDescent="0.25">
      <c r="A43" t="s">
        <v>47</v>
      </c>
      <c r="B43" t="s">
        <v>46</v>
      </c>
      <c r="C43" t="s">
        <v>36</v>
      </c>
      <c r="D43" t="s">
        <v>37</v>
      </c>
      <c r="E43" s="4">
        <v>2006</v>
      </c>
      <c r="F43" s="4">
        <v>50.6</v>
      </c>
      <c r="G43" s="4">
        <v>58.582999999999998</v>
      </c>
      <c r="H43" s="4">
        <v>7.9829999999999997</v>
      </c>
    </row>
    <row r="44" spans="1:14" x14ac:dyDescent="0.25">
      <c r="A44" t="s">
        <v>54</v>
      </c>
      <c r="B44" t="s">
        <v>35</v>
      </c>
      <c r="C44" t="s">
        <v>36</v>
      </c>
      <c r="D44" t="s">
        <v>37</v>
      </c>
      <c r="E44" s="4">
        <v>2009</v>
      </c>
      <c r="F44" s="4">
        <v>19.885000000000002</v>
      </c>
      <c r="G44" s="4">
        <v>24.504000000000001</v>
      </c>
      <c r="H44" s="4">
        <v>4.6189999999999998</v>
      </c>
    </row>
    <row r="45" spans="1:14" x14ac:dyDescent="0.25">
      <c r="A45" t="s">
        <v>48</v>
      </c>
      <c r="B45" t="s">
        <v>46</v>
      </c>
      <c r="C45" t="s">
        <v>36</v>
      </c>
      <c r="D45" t="s">
        <v>37</v>
      </c>
      <c r="E45" s="4">
        <v>2009</v>
      </c>
      <c r="F45" s="4">
        <v>50.6</v>
      </c>
      <c r="G45" s="4">
        <v>58.582999999999998</v>
      </c>
      <c r="H45" s="4">
        <v>7.9829999999999997</v>
      </c>
    </row>
    <row r="46" spans="1:14" x14ac:dyDescent="0.25">
      <c r="A46" t="s">
        <v>55</v>
      </c>
      <c r="B46" t="s">
        <v>44</v>
      </c>
      <c r="C46" t="s">
        <v>36</v>
      </c>
      <c r="D46" t="s">
        <v>37</v>
      </c>
      <c r="E46" s="4">
        <v>2010</v>
      </c>
      <c r="F46" s="4">
        <v>16.2</v>
      </c>
      <c r="G46" s="4">
        <v>16.3</v>
      </c>
      <c r="H46" s="4">
        <v>0.1</v>
      </c>
    </row>
    <row r="47" spans="1:14" x14ac:dyDescent="0.25">
      <c r="A47" t="s">
        <v>55</v>
      </c>
      <c r="B47" t="s">
        <v>44</v>
      </c>
      <c r="C47" t="s">
        <v>36</v>
      </c>
      <c r="D47" t="s">
        <v>37</v>
      </c>
      <c r="E47" s="4">
        <v>2010</v>
      </c>
      <c r="F47" s="4">
        <v>16.3</v>
      </c>
      <c r="G47" s="4">
        <v>16.399999999999999</v>
      </c>
      <c r="H47" s="4">
        <v>0.1</v>
      </c>
    </row>
    <row r="48" spans="1:14" x14ac:dyDescent="0.25">
      <c r="A48" t="s">
        <v>49</v>
      </c>
      <c r="B48" t="s">
        <v>35</v>
      </c>
      <c r="C48" t="s">
        <v>36</v>
      </c>
      <c r="D48" t="s">
        <v>37</v>
      </c>
      <c r="E48" s="4">
        <v>2010</v>
      </c>
      <c r="F48" s="4">
        <v>50.6</v>
      </c>
      <c r="G48" s="4">
        <v>58.582999999999998</v>
      </c>
      <c r="H48" s="4">
        <v>7.9829999999999997</v>
      </c>
    </row>
    <row r="49" spans="1:8" x14ac:dyDescent="0.25">
      <c r="A49" t="s">
        <v>50</v>
      </c>
      <c r="B49" t="s">
        <v>46</v>
      </c>
      <c r="C49" t="s">
        <v>36</v>
      </c>
      <c r="D49" t="s">
        <v>37</v>
      </c>
      <c r="E49" s="4">
        <v>2012</v>
      </c>
      <c r="F49" s="4">
        <v>30.5</v>
      </c>
      <c r="G49" s="4">
        <v>35.5</v>
      </c>
      <c r="H49" s="4">
        <v>5</v>
      </c>
    </row>
    <row r="50" spans="1:8" x14ac:dyDescent="0.25">
      <c r="A50" t="s">
        <v>50</v>
      </c>
      <c r="B50" t="s">
        <v>35</v>
      </c>
      <c r="C50" t="s">
        <v>36</v>
      </c>
      <c r="D50" t="s">
        <v>37</v>
      </c>
      <c r="E50" s="4">
        <v>2012</v>
      </c>
      <c r="F50" s="4">
        <v>30.5</v>
      </c>
      <c r="G50" s="4">
        <v>50.6</v>
      </c>
      <c r="H50" s="4">
        <v>20.100000000000001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0"/>
  <sheetViews>
    <sheetView workbookViewId="0">
      <selection activeCell="G2" sqref="G2"/>
    </sheetView>
  </sheetViews>
  <sheetFormatPr defaultRowHeight="15" x14ac:dyDescent="0.25"/>
  <cols>
    <col min="1" max="1" width="3" customWidth="1"/>
    <col min="2" max="2" width="12.7109375" style="3" customWidth="1"/>
    <col min="3" max="3" width="9.28515625" bestFit="1" customWidth="1"/>
    <col min="4" max="9" width="24" bestFit="1" customWidth="1"/>
    <col min="11" max="11" width="5" customWidth="1"/>
    <col min="12" max="12" width="11.42578125" bestFit="1" customWidth="1"/>
    <col min="13" max="13" width="7" customWidth="1"/>
    <col min="14" max="14" width="11.42578125" bestFit="1" customWidth="1"/>
  </cols>
  <sheetData>
    <row r="1" spans="1:14" x14ac:dyDescent="0.25">
      <c r="C1" t="s">
        <v>56</v>
      </c>
      <c r="D1" t="s">
        <v>57</v>
      </c>
      <c r="E1" t="s">
        <v>58</v>
      </c>
      <c r="F1" t="s">
        <v>59</v>
      </c>
      <c r="G1" t="s">
        <v>60</v>
      </c>
      <c r="H1" t="s">
        <v>61</v>
      </c>
      <c r="I1" t="s">
        <v>62</v>
      </c>
      <c r="K1" t="s">
        <v>0</v>
      </c>
      <c r="L1" t="s">
        <v>7</v>
      </c>
      <c r="M1" t="s">
        <v>1</v>
      </c>
      <c r="N1" t="s">
        <v>2</v>
      </c>
    </row>
    <row r="2" spans="1:14" x14ac:dyDescent="0.25">
      <c r="B2" s="3">
        <v>1993</v>
      </c>
      <c r="C2" s="5">
        <f t="shared" ref="C2:H9" ca="1" si="0">RANDBETWEEN(1, 10)</f>
        <v>7</v>
      </c>
      <c r="D2" s="5">
        <f t="shared" ca="1" si="0"/>
        <v>2</v>
      </c>
      <c r="E2" s="5">
        <f t="shared" ca="1" si="0"/>
        <v>10</v>
      </c>
      <c r="F2" s="5">
        <f t="shared" ca="1" si="0"/>
        <v>5</v>
      </c>
      <c r="G2" s="5">
        <f t="shared" ca="1" si="0"/>
        <v>7</v>
      </c>
      <c r="H2" s="5">
        <f t="shared" ca="1" si="0"/>
        <v>9</v>
      </c>
      <c r="I2" t="str">
        <f t="shared" ref="I2:I9" ca="1" si="1">INDEX($C$1:$H$1, MATCH(MAX(C2:H2),C2:H2, 0))</f>
        <v>Product 3</v>
      </c>
      <c r="K2">
        <v>1993</v>
      </c>
      <c r="L2" t="s">
        <v>3</v>
      </c>
      <c r="M2">
        <v>10.039999999999999</v>
      </c>
      <c r="N2" t="s">
        <v>63</v>
      </c>
    </row>
    <row r="3" spans="1:14" x14ac:dyDescent="0.25">
      <c r="B3" s="3">
        <v>1994</v>
      </c>
      <c r="C3" s="5">
        <f t="shared" ca="1" si="0"/>
        <v>3</v>
      </c>
      <c r="D3" s="5">
        <f t="shared" ca="1" si="0"/>
        <v>9</v>
      </c>
      <c r="E3" s="5">
        <f t="shared" ca="1" si="0"/>
        <v>2</v>
      </c>
      <c r="F3" s="5">
        <f t="shared" ca="1" si="0"/>
        <v>2</v>
      </c>
      <c r="G3" s="5">
        <f t="shared" ca="1" si="0"/>
        <v>3</v>
      </c>
      <c r="H3" s="5">
        <f t="shared" ca="1" si="0"/>
        <v>9</v>
      </c>
      <c r="I3" t="str">
        <f t="shared" ca="1" si="1"/>
        <v>Product 2</v>
      </c>
      <c r="K3">
        <v>2001</v>
      </c>
      <c r="L3" t="s">
        <v>3</v>
      </c>
      <c r="N3" t="s">
        <v>64</v>
      </c>
    </row>
    <row r="4" spans="1:14" x14ac:dyDescent="0.25">
      <c r="B4" s="3">
        <v>1995</v>
      </c>
      <c r="C4" s="5">
        <f t="shared" ca="1" si="0"/>
        <v>8</v>
      </c>
      <c r="D4" s="5">
        <f t="shared" ca="1" si="0"/>
        <v>5</v>
      </c>
      <c r="E4" s="5">
        <f t="shared" ca="1" si="0"/>
        <v>8</v>
      </c>
      <c r="F4" s="5">
        <f t="shared" ca="1" si="0"/>
        <v>8</v>
      </c>
      <c r="G4" s="5">
        <f t="shared" ca="1" si="0"/>
        <v>9</v>
      </c>
      <c r="H4" s="5">
        <f t="shared" ca="1" si="0"/>
        <v>4</v>
      </c>
      <c r="I4" t="str">
        <f t="shared" ca="1" si="1"/>
        <v>Product 5</v>
      </c>
      <c r="K4">
        <v>2005</v>
      </c>
      <c r="L4" t="s">
        <v>3</v>
      </c>
      <c r="M4">
        <v>6.7770000000000001</v>
      </c>
      <c r="N4" t="s">
        <v>65</v>
      </c>
    </row>
    <row r="5" spans="1:14" x14ac:dyDescent="0.25">
      <c r="B5" s="3">
        <v>1996</v>
      </c>
      <c r="C5" s="5">
        <f t="shared" ca="1" si="0"/>
        <v>1</v>
      </c>
      <c r="D5" s="5">
        <f t="shared" ca="1" si="0"/>
        <v>1</v>
      </c>
      <c r="E5" s="5">
        <f t="shared" ca="1" si="0"/>
        <v>3</v>
      </c>
      <c r="F5" s="5">
        <f t="shared" ca="1" si="0"/>
        <v>4</v>
      </c>
      <c r="G5" s="5">
        <f t="shared" ca="1" si="0"/>
        <v>5</v>
      </c>
      <c r="H5" s="5">
        <f t="shared" ca="1" si="0"/>
        <v>8</v>
      </c>
      <c r="I5" t="str">
        <f t="shared" ca="1" si="1"/>
        <v>Product 6</v>
      </c>
      <c r="K5">
        <v>2008</v>
      </c>
      <c r="L5" t="s">
        <v>3</v>
      </c>
      <c r="M5">
        <v>8.5670000000000002</v>
      </c>
      <c r="N5" t="s">
        <v>66</v>
      </c>
    </row>
    <row r="6" spans="1:14" x14ac:dyDescent="0.25">
      <c r="B6" s="3">
        <v>1997</v>
      </c>
      <c r="C6" s="5">
        <f t="shared" ca="1" si="0"/>
        <v>4</v>
      </c>
      <c r="D6" s="5">
        <f t="shared" ca="1" si="0"/>
        <v>3</v>
      </c>
      <c r="E6" s="5">
        <f t="shared" ca="1" si="0"/>
        <v>2</v>
      </c>
      <c r="F6" s="5">
        <f t="shared" ca="1" si="0"/>
        <v>7</v>
      </c>
      <c r="G6" s="5">
        <f t="shared" ca="1" si="0"/>
        <v>7</v>
      </c>
      <c r="H6" s="5">
        <f t="shared" ca="1" si="0"/>
        <v>10</v>
      </c>
      <c r="I6" t="str">
        <f t="shared" ca="1" si="1"/>
        <v>Product 6</v>
      </c>
      <c r="K6">
        <v>2010</v>
      </c>
      <c r="L6" t="s">
        <v>3</v>
      </c>
      <c r="N6" t="s">
        <v>67</v>
      </c>
    </row>
    <row r="7" spans="1:14" x14ac:dyDescent="0.25">
      <c r="B7" s="3">
        <v>1998</v>
      </c>
      <c r="C7" s="5">
        <f t="shared" ca="1" si="0"/>
        <v>2</v>
      </c>
      <c r="D7" s="5">
        <f t="shared" ca="1" si="0"/>
        <v>6</v>
      </c>
      <c r="E7" s="5">
        <f t="shared" ca="1" si="0"/>
        <v>7</v>
      </c>
      <c r="F7" s="5">
        <f t="shared" ca="1" si="0"/>
        <v>7</v>
      </c>
      <c r="G7" s="5">
        <f t="shared" ca="1" si="0"/>
        <v>5</v>
      </c>
      <c r="H7" s="5">
        <f t="shared" ca="1" si="0"/>
        <v>9</v>
      </c>
      <c r="I7" t="str">
        <f t="shared" ca="1" si="1"/>
        <v>Product 6</v>
      </c>
      <c r="K7">
        <v>2011</v>
      </c>
      <c r="L7" t="s">
        <v>3</v>
      </c>
      <c r="N7" t="s">
        <v>68</v>
      </c>
    </row>
    <row r="8" spans="1:14" x14ac:dyDescent="0.25">
      <c r="B8" s="3">
        <v>1999</v>
      </c>
      <c r="C8" s="5">
        <f t="shared" ca="1" si="0"/>
        <v>3</v>
      </c>
      <c r="D8" s="5">
        <f t="shared" ca="1" si="0"/>
        <v>9</v>
      </c>
      <c r="E8" s="5">
        <f t="shared" ca="1" si="0"/>
        <v>6</v>
      </c>
      <c r="F8" s="5">
        <f t="shared" ca="1" si="0"/>
        <v>5</v>
      </c>
      <c r="G8" s="5">
        <f t="shared" ca="1" si="0"/>
        <v>6</v>
      </c>
      <c r="H8" s="5">
        <f t="shared" ca="1" si="0"/>
        <v>10</v>
      </c>
      <c r="I8" t="str">
        <f t="shared" ca="1" si="1"/>
        <v>Product 6</v>
      </c>
    </row>
    <row r="9" spans="1:14" x14ac:dyDescent="0.25">
      <c r="B9" s="3">
        <v>2000</v>
      </c>
      <c r="C9" s="5">
        <f t="shared" ca="1" si="0"/>
        <v>4</v>
      </c>
      <c r="D9" s="5">
        <f t="shared" ca="1" si="0"/>
        <v>10</v>
      </c>
      <c r="E9" s="5">
        <f t="shared" ca="1" si="0"/>
        <v>8</v>
      </c>
      <c r="F9" s="5">
        <f t="shared" ca="1" si="0"/>
        <v>1</v>
      </c>
      <c r="G9" s="5">
        <f t="shared" ca="1" si="0"/>
        <v>4</v>
      </c>
      <c r="H9" s="5">
        <f t="shared" ca="1" si="0"/>
        <v>10</v>
      </c>
      <c r="I9" t="str">
        <f t="shared" ca="1" si="1"/>
        <v>Product 2</v>
      </c>
    </row>
    <row r="12" spans="1:14" x14ac:dyDescent="0.25">
      <c r="A12" s="3"/>
      <c r="B12"/>
    </row>
    <row r="13" spans="1:14" x14ac:dyDescent="0.25">
      <c r="A13" s="3"/>
      <c r="C13" s="5"/>
      <c r="D13" s="5"/>
      <c r="E13" s="5"/>
      <c r="F13" s="5"/>
      <c r="G13" s="5"/>
      <c r="H13" s="5"/>
    </row>
    <row r="14" spans="1:14" x14ac:dyDescent="0.25">
      <c r="A14" s="3"/>
      <c r="C14" s="5"/>
      <c r="D14" s="5"/>
      <c r="E14" s="5"/>
      <c r="F14" s="5"/>
      <c r="G14" s="5"/>
      <c r="H14" s="5"/>
    </row>
    <row r="15" spans="1:14" x14ac:dyDescent="0.25">
      <c r="A15" s="3"/>
      <c r="C15" s="5"/>
      <c r="D15" s="5"/>
      <c r="E15" s="5"/>
      <c r="F15" s="5"/>
      <c r="G15" s="5"/>
      <c r="H15" s="5"/>
    </row>
    <row r="16" spans="1:14" x14ac:dyDescent="0.25">
      <c r="A16" s="3"/>
      <c r="C16" s="5"/>
      <c r="D16" s="5"/>
      <c r="E16" s="5"/>
      <c r="F16" s="5"/>
      <c r="G16" s="5"/>
      <c r="H16" s="5"/>
    </row>
    <row r="17" spans="1:8" x14ac:dyDescent="0.25">
      <c r="A17" s="3"/>
      <c r="C17" s="5"/>
      <c r="D17" s="5"/>
      <c r="E17" s="5"/>
      <c r="F17" s="5"/>
      <c r="G17" s="5"/>
      <c r="H17" s="5"/>
    </row>
    <row r="18" spans="1:8" x14ac:dyDescent="0.25">
      <c r="A18" s="3"/>
      <c r="C18" s="5"/>
      <c r="D18" s="5"/>
      <c r="E18" s="5"/>
      <c r="F18" s="5"/>
      <c r="G18" s="5"/>
      <c r="H18" s="5"/>
    </row>
    <row r="19" spans="1:8" x14ac:dyDescent="0.25">
      <c r="A19" s="3"/>
      <c r="C19" s="5"/>
      <c r="D19" s="5"/>
      <c r="E19" s="5"/>
      <c r="F19" s="5"/>
      <c r="G19" s="5"/>
      <c r="H19" s="5"/>
    </row>
    <row r="20" spans="1:8" x14ac:dyDescent="0.25">
      <c r="A20" s="3"/>
      <c r="C20" s="5"/>
      <c r="D20" s="5"/>
      <c r="E20" s="5"/>
      <c r="F20" s="5"/>
      <c r="G20" s="5"/>
      <c r="H20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9"/>
  <sheetViews>
    <sheetView workbookViewId="0">
      <selection activeCell="E15" sqref="E15"/>
    </sheetView>
  </sheetViews>
  <sheetFormatPr defaultRowHeight="15" x14ac:dyDescent="0.25"/>
  <cols>
    <col min="1" max="1" width="12.7109375" bestFit="1" customWidth="1"/>
    <col min="2" max="2" width="5" bestFit="1" customWidth="1"/>
    <col min="3" max="6" width="23" bestFit="1" customWidth="1"/>
    <col min="7" max="8" width="24" bestFit="1" customWidth="1"/>
  </cols>
  <sheetData>
    <row r="1" spans="1:8" x14ac:dyDescent="0.25">
      <c r="A1" s="3"/>
      <c r="C1" t="s">
        <v>3</v>
      </c>
      <c r="D1" t="s">
        <v>69</v>
      </c>
      <c r="E1" t="s">
        <v>70</v>
      </c>
      <c r="F1" t="s">
        <v>71</v>
      </c>
      <c r="G1" t="s">
        <v>72</v>
      </c>
      <c r="H1" t="s">
        <v>73</v>
      </c>
    </row>
    <row r="2" spans="1:8" x14ac:dyDescent="0.25">
      <c r="A2" s="3"/>
      <c r="B2" s="3">
        <v>1993</v>
      </c>
      <c r="C2" s="8" t="str">
        <f ca="1">$B2&amp;", " &amp;formula!C2</f>
        <v>1993, 7</v>
      </c>
      <c r="D2" s="8" t="str">
        <f ca="1">$B2&amp;", " &amp;formula!D2</f>
        <v>1993, 2</v>
      </c>
      <c r="E2" s="8" t="str">
        <f ca="1">$B2&amp;", " &amp;formula!E2</f>
        <v>1993, 10</v>
      </c>
      <c r="F2" s="8" t="str">
        <f ca="1">$B2&amp;", " &amp;formula!F2</f>
        <v>1993, 5</v>
      </c>
      <c r="G2" s="8" t="str">
        <f ca="1">$B2&amp;", " &amp;formula!G2</f>
        <v>1993, 7</v>
      </c>
      <c r="H2" s="8" t="str">
        <f ca="1">$B2&amp;", " &amp;formula!H2</f>
        <v>1993, 9</v>
      </c>
    </row>
    <row r="3" spans="1:8" x14ac:dyDescent="0.25">
      <c r="A3" s="3"/>
      <c r="B3" s="3">
        <v>1994</v>
      </c>
      <c r="C3" s="8" t="str">
        <f ca="1">$B3&amp;", " &amp;formula!C3</f>
        <v>1994, 3</v>
      </c>
      <c r="D3" s="8" t="str">
        <f ca="1">$B3&amp;", " &amp;formula!D3</f>
        <v>1994, 9</v>
      </c>
      <c r="E3" s="8" t="str">
        <f ca="1">$B3&amp;", " &amp;formula!E3</f>
        <v>1994, 2</v>
      </c>
      <c r="F3" s="8" t="str">
        <f ca="1">$B3&amp;", " &amp;formula!F3</f>
        <v>1994, 2</v>
      </c>
      <c r="G3" s="8" t="str">
        <f ca="1">$B3&amp;", " &amp;formula!G3</f>
        <v>1994, 3</v>
      </c>
      <c r="H3" s="8" t="str">
        <f ca="1">$B3&amp;", " &amp;formula!H3</f>
        <v>1994, 9</v>
      </c>
    </row>
    <row r="4" spans="1:8" x14ac:dyDescent="0.25">
      <c r="A4" s="3"/>
      <c r="B4" s="3">
        <v>1995</v>
      </c>
      <c r="C4" s="8" t="str">
        <f ca="1">$B4&amp;", " &amp;formula!C4</f>
        <v>1995, 8</v>
      </c>
      <c r="D4" s="8" t="str">
        <f ca="1">$B4&amp;", " &amp;formula!D4</f>
        <v>1995, 5</v>
      </c>
      <c r="E4" s="8" t="str">
        <f ca="1">$B4&amp;", " &amp;formula!E4</f>
        <v>1995, 8</v>
      </c>
      <c r="F4" s="8" t="str">
        <f ca="1">$B4&amp;", " &amp;formula!F4</f>
        <v>1995, 8</v>
      </c>
      <c r="G4" s="8" t="str">
        <f ca="1">$B4&amp;", " &amp;formula!G4</f>
        <v>1995, 9</v>
      </c>
      <c r="H4" s="8" t="str">
        <f ca="1">$B4&amp;", " &amp;formula!H4</f>
        <v>1995, 4</v>
      </c>
    </row>
    <row r="5" spans="1:8" x14ac:dyDescent="0.25">
      <c r="A5" s="3"/>
      <c r="B5" s="3">
        <v>1996</v>
      </c>
      <c r="C5" s="8" t="str">
        <f ca="1">$B5&amp;", " &amp;formula!C5</f>
        <v>1996, 1</v>
      </c>
      <c r="D5" s="8" t="str">
        <f ca="1">$B5&amp;", " &amp;formula!D5</f>
        <v>1996, 1</v>
      </c>
      <c r="E5" s="8" t="str">
        <f ca="1">$B5&amp;", " &amp;formula!E5</f>
        <v>1996, 3</v>
      </c>
      <c r="F5" s="8" t="str">
        <f ca="1">$B5&amp;", " &amp;formula!F5</f>
        <v>1996, 4</v>
      </c>
      <c r="G5" s="8" t="str">
        <f ca="1">$B5&amp;", " &amp;formula!G5</f>
        <v>1996, 5</v>
      </c>
      <c r="H5" s="8" t="str">
        <f ca="1">$B5&amp;", " &amp;formula!H5</f>
        <v>1996, 8</v>
      </c>
    </row>
    <row r="6" spans="1:8" x14ac:dyDescent="0.25">
      <c r="A6" s="3"/>
      <c r="B6" s="3">
        <v>1997</v>
      </c>
      <c r="C6" s="8" t="str">
        <f ca="1">$B6&amp;", " &amp;formula!C6</f>
        <v>1997, 4</v>
      </c>
      <c r="D6" s="8" t="str">
        <f ca="1">$B6&amp;", " &amp;formula!D6</f>
        <v>1997, 3</v>
      </c>
      <c r="E6" s="8" t="str">
        <f ca="1">$B6&amp;", " &amp;formula!E6</f>
        <v>1997, 2</v>
      </c>
      <c r="F6" s="8" t="str">
        <f ca="1">$B6&amp;", " &amp;formula!F6</f>
        <v>1997, 7</v>
      </c>
      <c r="G6" s="8" t="str">
        <f ca="1">$B6&amp;", " &amp;formula!G6</f>
        <v>1997, 7</v>
      </c>
      <c r="H6" s="8" t="str">
        <f ca="1">$B6&amp;", " &amp;formula!H6</f>
        <v>1997, 10</v>
      </c>
    </row>
    <row r="7" spans="1:8" x14ac:dyDescent="0.25">
      <c r="A7" s="3"/>
      <c r="B7" s="3">
        <v>1998</v>
      </c>
      <c r="C7" s="8" t="str">
        <f ca="1">$B7&amp;", " &amp;formula!C7</f>
        <v>1998, 2</v>
      </c>
      <c r="D7" s="8" t="str">
        <f ca="1">$B7&amp;", " &amp;formula!D7</f>
        <v>1998, 6</v>
      </c>
      <c r="E7" s="8" t="str">
        <f ca="1">$B7&amp;", " &amp;formula!E7</f>
        <v>1998, 7</v>
      </c>
      <c r="F7" s="8" t="str">
        <f ca="1">$B7&amp;", " &amp;formula!F7</f>
        <v>1998, 7</v>
      </c>
      <c r="G7" s="8" t="str">
        <f ca="1">$B7&amp;", " &amp;formula!G7</f>
        <v>1998, 5</v>
      </c>
      <c r="H7" s="8" t="str">
        <f ca="1">$B7&amp;", " &amp;formula!H7</f>
        <v>1998, 9</v>
      </c>
    </row>
    <row r="8" spans="1:8" x14ac:dyDescent="0.25">
      <c r="A8" s="3"/>
      <c r="B8" s="3">
        <v>1999</v>
      </c>
      <c r="C8" s="8" t="str">
        <f ca="1">$B8&amp;", " &amp;formula!C8</f>
        <v>1999, 3</v>
      </c>
      <c r="D8" s="8" t="str">
        <f ca="1">$B8&amp;", " &amp;formula!D8</f>
        <v>1999, 9</v>
      </c>
      <c r="E8" s="8" t="str">
        <f ca="1">$B8&amp;", " &amp;formula!E8</f>
        <v>1999, 6</v>
      </c>
      <c r="F8" s="8" t="str">
        <f ca="1">$B8&amp;", " &amp;formula!F8</f>
        <v>1999, 5</v>
      </c>
      <c r="G8" s="8" t="str">
        <f ca="1">$B8&amp;", " &amp;formula!G8</f>
        <v>1999, 6</v>
      </c>
      <c r="H8" s="8" t="str">
        <f ca="1">$B8&amp;", " &amp;formula!H8</f>
        <v>1999, 10</v>
      </c>
    </row>
    <row r="9" spans="1:8" x14ac:dyDescent="0.25">
      <c r="A9" s="3"/>
      <c r="B9" s="3">
        <v>2000</v>
      </c>
      <c r="C9" s="8" t="str">
        <f ca="1">$B9&amp;", " &amp;formula!C9</f>
        <v>2000, 4</v>
      </c>
      <c r="D9" s="8" t="str">
        <f ca="1">$B9&amp;", " &amp;formula!D9</f>
        <v>2000, 10</v>
      </c>
      <c r="E9" s="8" t="str">
        <f ca="1">$B9&amp;", " &amp;formula!E9</f>
        <v>2000, 8</v>
      </c>
      <c r="F9" s="8" t="str">
        <f ca="1">$B9&amp;", " &amp;formula!F9</f>
        <v>2000, 1</v>
      </c>
      <c r="G9" s="8" t="str">
        <f ca="1">$B9&amp;", " &amp;formula!G9</f>
        <v>2000, 4</v>
      </c>
      <c r="H9" s="8" t="str">
        <f ca="1">$B9&amp;", " &amp;formula!H9</f>
        <v>2000, 10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C12"/>
  <sheetViews>
    <sheetView zoomScale="85" zoomScaleNormal="85" workbookViewId="0"/>
  </sheetViews>
  <sheetFormatPr defaultRowHeight="15" x14ac:dyDescent="0.25"/>
  <cols>
    <col min="1" max="1" width="13.7109375" customWidth="1"/>
    <col min="2" max="2" width="16.28515625" bestFit="1" customWidth="1"/>
    <col min="3" max="8" width="13.28515625" customWidth="1"/>
    <col min="9" max="9" width="8.140625" customWidth="1"/>
    <col min="10" max="17" width="13.28515625" bestFit="1" customWidth="1"/>
    <col min="18" max="18" width="8.140625" customWidth="1"/>
    <col min="19" max="26" width="13.28515625" bestFit="1" customWidth="1"/>
    <col min="27" max="27" width="8.140625" customWidth="1"/>
    <col min="28" max="35" width="13.28515625" bestFit="1" customWidth="1"/>
    <col min="36" max="36" width="8.140625" customWidth="1"/>
    <col min="37" max="44" width="13.28515625" bestFit="1" customWidth="1"/>
    <col min="45" max="45" width="8.140625" customWidth="1"/>
    <col min="46" max="53" width="13.28515625" bestFit="1" customWidth="1"/>
    <col min="54" max="54" width="8.140625" customWidth="1"/>
    <col min="55" max="55" width="11.28515625" bestFit="1" customWidth="1"/>
  </cols>
  <sheetData>
    <row r="1" spans="1:55" x14ac:dyDescent="0.25">
      <c r="A1" s="1" t="s">
        <v>11</v>
      </c>
      <c r="B1" s="1" t="s">
        <v>10</v>
      </c>
    </row>
    <row r="2" spans="1:55" x14ac:dyDescent="0.25">
      <c r="B2" t="s">
        <v>106</v>
      </c>
      <c r="I2" t="s">
        <v>116</v>
      </c>
      <c r="J2" t="s">
        <v>4</v>
      </c>
      <c r="R2" t="s">
        <v>12</v>
      </c>
      <c r="S2" t="s">
        <v>5</v>
      </c>
      <c r="AA2" t="s">
        <v>13</v>
      </c>
      <c r="AB2" t="s">
        <v>6</v>
      </c>
      <c r="AJ2" t="s">
        <v>14</v>
      </c>
      <c r="AK2" t="s">
        <v>16</v>
      </c>
      <c r="AS2" t="s">
        <v>117</v>
      </c>
      <c r="AT2" t="s">
        <v>17</v>
      </c>
      <c r="BB2" t="s">
        <v>118</v>
      </c>
      <c r="BC2" t="s">
        <v>9</v>
      </c>
    </row>
    <row r="3" spans="1:55" x14ac:dyDescent="0.25">
      <c r="A3" s="1" t="s">
        <v>8</v>
      </c>
      <c r="B3" t="s">
        <v>107</v>
      </c>
      <c r="C3" t="s">
        <v>108</v>
      </c>
      <c r="D3" t="s">
        <v>109</v>
      </c>
      <c r="E3" t="s">
        <v>110</v>
      </c>
      <c r="F3" t="s">
        <v>111</v>
      </c>
      <c r="G3" t="s">
        <v>112</v>
      </c>
      <c r="H3" t="s">
        <v>113</v>
      </c>
      <c r="J3" t="s">
        <v>107</v>
      </c>
      <c r="K3" t="s">
        <v>108</v>
      </c>
      <c r="L3" t="s">
        <v>109</v>
      </c>
      <c r="M3" t="s">
        <v>110</v>
      </c>
      <c r="N3" t="s">
        <v>111</v>
      </c>
      <c r="O3" t="s">
        <v>112</v>
      </c>
      <c r="P3" t="s">
        <v>113</v>
      </c>
      <c r="Q3" t="s">
        <v>114</v>
      </c>
      <c r="S3" t="s">
        <v>107</v>
      </c>
      <c r="T3" t="s">
        <v>108</v>
      </c>
      <c r="U3" t="s">
        <v>109</v>
      </c>
      <c r="V3" t="s">
        <v>110</v>
      </c>
      <c r="W3" t="s">
        <v>111</v>
      </c>
      <c r="X3" t="s">
        <v>112</v>
      </c>
      <c r="Y3" t="s">
        <v>113</v>
      </c>
      <c r="Z3" t="s">
        <v>114</v>
      </c>
      <c r="AB3" t="s">
        <v>107</v>
      </c>
      <c r="AC3" t="s">
        <v>108</v>
      </c>
      <c r="AD3" t="s">
        <v>109</v>
      </c>
      <c r="AE3" t="s">
        <v>110</v>
      </c>
      <c r="AF3" t="s">
        <v>111</v>
      </c>
      <c r="AG3" t="s">
        <v>112</v>
      </c>
      <c r="AH3" t="s">
        <v>113</v>
      </c>
      <c r="AI3" t="s">
        <v>114</v>
      </c>
      <c r="AK3" t="s">
        <v>107</v>
      </c>
      <c r="AL3" t="s">
        <v>108</v>
      </c>
      <c r="AM3" t="s">
        <v>109</v>
      </c>
      <c r="AN3" t="s">
        <v>110</v>
      </c>
      <c r="AO3" t="s">
        <v>111</v>
      </c>
      <c r="AP3" t="s">
        <v>112</v>
      </c>
      <c r="AQ3" t="s">
        <v>113</v>
      </c>
      <c r="AR3" t="s">
        <v>114</v>
      </c>
      <c r="AT3" t="s">
        <v>107</v>
      </c>
      <c r="AU3" t="s">
        <v>108</v>
      </c>
      <c r="AV3" t="s">
        <v>109</v>
      </c>
      <c r="AW3" t="s">
        <v>110</v>
      </c>
      <c r="AX3" t="s">
        <v>111</v>
      </c>
      <c r="AY3" t="s">
        <v>112</v>
      </c>
      <c r="AZ3" t="s">
        <v>113</v>
      </c>
      <c r="BA3" t="s">
        <v>114</v>
      </c>
    </row>
    <row r="4" spans="1:55" x14ac:dyDescent="0.25">
      <c r="A4" s="2">
        <v>1993</v>
      </c>
      <c r="B4" s="3">
        <v>2</v>
      </c>
      <c r="C4" s="3"/>
      <c r="D4" s="3"/>
      <c r="E4" s="3"/>
      <c r="F4" s="3"/>
      <c r="G4" s="3"/>
      <c r="H4" s="3"/>
      <c r="I4" s="3">
        <v>2</v>
      </c>
      <c r="J4" s="3">
        <v>1</v>
      </c>
      <c r="K4" s="3"/>
      <c r="L4" s="3"/>
      <c r="M4" s="3"/>
      <c r="N4" s="3"/>
      <c r="O4" s="3"/>
      <c r="P4" s="3"/>
      <c r="Q4" s="3"/>
      <c r="R4" s="3">
        <v>1</v>
      </c>
      <c r="S4" s="3">
        <v>4</v>
      </c>
      <c r="T4" s="3"/>
      <c r="U4" s="3"/>
      <c r="V4" s="3"/>
      <c r="W4" s="3"/>
      <c r="X4" s="3"/>
      <c r="Y4" s="3"/>
      <c r="Z4" s="3"/>
      <c r="AA4" s="3">
        <v>4</v>
      </c>
      <c r="AB4" s="3">
        <v>7</v>
      </c>
      <c r="AC4" s="3"/>
      <c r="AD4" s="3"/>
      <c r="AE4" s="3"/>
      <c r="AF4" s="3"/>
      <c r="AG4" s="3"/>
      <c r="AH4" s="3"/>
      <c r="AI4" s="3"/>
      <c r="AJ4" s="3">
        <v>7</v>
      </c>
      <c r="AK4" s="3">
        <v>7</v>
      </c>
      <c r="AL4" s="3"/>
      <c r="AM4" s="3"/>
      <c r="AN4" s="3"/>
      <c r="AO4" s="3"/>
      <c r="AP4" s="3"/>
      <c r="AQ4" s="3"/>
      <c r="AR4" s="3"/>
      <c r="AS4" s="3">
        <v>7</v>
      </c>
      <c r="AT4" s="3">
        <v>3</v>
      </c>
      <c r="AU4" s="3"/>
      <c r="AV4" s="3"/>
      <c r="AW4" s="3"/>
      <c r="AX4" s="3"/>
      <c r="AY4" s="3"/>
      <c r="AZ4" s="3"/>
      <c r="BA4" s="3"/>
      <c r="BB4" s="3">
        <v>3</v>
      </c>
      <c r="BC4" s="3">
        <v>24</v>
      </c>
    </row>
    <row r="5" spans="1:55" x14ac:dyDescent="0.25">
      <c r="A5" s="2">
        <v>1994</v>
      </c>
      <c r="B5" s="3"/>
      <c r="C5" s="3">
        <v>10</v>
      </c>
      <c r="D5" s="3"/>
      <c r="E5" s="3"/>
      <c r="F5" s="3"/>
      <c r="G5" s="3"/>
      <c r="H5" s="3"/>
      <c r="I5" s="3">
        <v>10</v>
      </c>
      <c r="J5" s="3"/>
      <c r="K5" s="3">
        <v>1</v>
      </c>
      <c r="L5" s="3"/>
      <c r="M5" s="3"/>
      <c r="N5" s="3"/>
      <c r="O5" s="3"/>
      <c r="P5" s="3"/>
      <c r="Q5" s="3"/>
      <c r="R5" s="3">
        <v>1</v>
      </c>
      <c r="S5" s="3"/>
      <c r="T5" s="3">
        <v>5</v>
      </c>
      <c r="U5" s="3"/>
      <c r="V5" s="3"/>
      <c r="W5" s="3"/>
      <c r="X5" s="3"/>
      <c r="Y5" s="3"/>
      <c r="Z5" s="3"/>
      <c r="AA5" s="3">
        <v>5</v>
      </c>
      <c r="AB5" s="3"/>
      <c r="AC5" s="3">
        <v>9</v>
      </c>
      <c r="AD5" s="3"/>
      <c r="AE5" s="3"/>
      <c r="AF5" s="3"/>
      <c r="AG5" s="3"/>
      <c r="AH5" s="3"/>
      <c r="AI5" s="3"/>
      <c r="AJ5" s="3">
        <v>9</v>
      </c>
      <c r="AK5" s="3"/>
      <c r="AL5" s="3">
        <v>5</v>
      </c>
      <c r="AM5" s="3"/>
      <c r="AN5" s="3"/>
      <c r="AO5" s="3"/>
      <c r="AP5" s="3"/>
      <c r="AQ5" s="3"/>
      <c r="AR5" s="3"/>
      <c r="AS5" s="3">
        <v>5</v>
      </c>
      <c r="AT5" s="3"/>
      <c r="AU5" s="3">
        <v>4</v>
      </c>
      <c r="AV5" s="3"/>
      <c r="AW5" s="3"/>
      <c r="AX5" s="3"/>
      <c r="AY5" s="3"/>
      <c r="AZ5" s="3"/>
      <c r="BA5" s="3"/>
      <c r="BB5" s="3">
        <v>4</v>
      </c>
      <c r="BC5" s="3">
        <v>34</v>
      </c>
    </row>
    <row r="6" spans="1:55" x14ac:dyDescent="0.25">
      <c r="A6" s="2">
        <v>1995</v>
      </c>
      <c r="B6" s="3"/>
      <c r="C6" s="3"/>
      <c r="D6" s="3">
        <v>4</v>
      </c>
      <c r="E6" s="3"/>
      <c r="F6" s="3"/>
      <c r="G6" s="3"/>
      <c r="H6" s="3"/>
      <c r="I6" s="3">
        <v>4</v>
      </c>
      <c r="J6" s="3"/>
      <c r="K6" s="3"/>
      <c r="L6" s="3">
        <v>9</v>
      </c>
      <c r="M6" s="3"/>
      <c r="N6" s="3"/>
      <c r="O6" s="3"/>
      <c r="P6" s="3"/>
      <c r="Q6" s="3"/>
      <c r="R6" s="3">
        <v>9</v>
      </c>
      <c r="S6" s="3"/>
      <c r="T6" s="3"/>
      <c r="U6" s="3">
        <v>7</v>
      </c>
      <c r="V6" s="3"/>
      <c r="W6" s="3"/>
      <c r="X6" s="3"/>
      <c r="Y6" s="3"/>
      <c r="Z6" s="3"/>
      <c r="AA6" s="3">
        <v>7</v>
      </c>
      <c r="AB6" s="3"/>
      <c r="AC6" s="3"/>
      <c r="AD6" s="3">
        <v>5</v>
      </c>
      <c r="AE6" s="3"/>
      <c r="AF6" s="3"/>
      <c r="AG6" s="3"/>
      <c r="AH6" s="3"/>
      <c r="AI6" s="3"/>
      <c r="AJ6" s="3">
        <v>5</v>
      </c>
      <c r="AK6" s="3"/>
      <c r="AL6" s="3"/>
      <c r="AM6" s="3">
        <v>9</v>
      </c>
      <c r="AN6" s="3"/>
      <c r="AO6" s="3"/>
      <c r="AP6" s="3"/>
      <c r="AQ6" s="3"/>
      <c r="AR6" s="3"/>
      <c r="AS6" s="3">
        <v>9</v>
      </c>
      <c r="AT6" s="3"/>
      <c r="AU6" s="3"/>
      <c r="AV6" s="3">
        <v>4</v>
      </c>
      <c r="AW6" s="3"/>
      <c r="AX6" s="3"/>
      <c r="AY6" s="3"/>
      <c r="AZ6" s="3"/>
      <c r="BA6" s="3"/>
      <c r="BB6" s="3">
        <v>4</v>
      </c>
      <c r="BC6" s="3">
        <v>38</v>
      </c>
    </row>
    <row r="7" spans="1:55" x14ac:dyDescent="0.25">
      <c r="A7" s="2">
        <v>1996</v>
      </c>
      <c r="B7" s="3"/>
      <c r="C7" s="3"/>
      <c r="D7" s="3"/>
      <c r="E7" s="3">
        <v>6</v>
      </c>
      <c r="F7" s="3"/>
      <c r="G7" s="3"/>
      <c r="H7" s="3"/>
      <c r="I7" s="3">
        <v>6</v>
      </c>
      <c r="J7" s="3"/>
      <c r="K7" s="3"/>
      <c r="L7" s="3"/>
      <c r="M7" s="3">
        <v>5</v>
      </c>
      <c r="N7" s="3"/>
      <c r="O7" s="3"/>
      <c r="P7" s="3"/>
      <c r="Q7" s="3"/>
      <c r="R7" s="3">
        <v>5</v>
      </c>
      <c r="S7" s="3"/>
      <c r="T7" s="3"/>
      <c r="U7" s="3"/>
      <c r="V7" s="3">
        <v>2</v>
      </c>
      <c r="W7" s="3"/>
      <c r="X7" s="3"/>
      <c r="Y7" s="3"/>
      <c r="Z7" s="3"/>
      <c r="AA7" s="3">
        <v>2</v>
      </c>
      <c r="AB7" s="3"/>
      <c r="AC7" s="3"/>
      <c r="AD7" s="3"/>
      <c r="AE7" s="3">
        <v>7</v>
      </c>
      <c r="AF7" s="3"/>
      <c r="AG7" s="3"/>
      <c r="AH7" s="3"/>
      <c r="AI7" s="3"/>
      <c r="AJ7" s="3">
        <v>7</v>
      </c>
      <c r="AK7" s="3"/>
      <c r="AL7" s="3"/>
      <c r="AM7" s="3"/>
      <c r="AN7" s="3">
        <v>2</v>
      </c>
      <c r="AO7" s="3"/>
      <c r="AP7" s="3"/>
      <c r="AQ7" s="3"/>
      <c r="AR7" s="3"/>
      <c r="AS7" s="3">
        <v>2</v>
      </c>
      <c r="AT7" s="3"/>
      <c r="AU7" s="3"/>
      <c r="AV7" s="3"/>
      <c r="AW7" s="3">
        <v>3</v>
      </c>
      <c r="AX7" s="3"/>
      <c r="AY7" s="3"/>
      <c r="AZ7" s="3"/>
      <c r="BA7" s="3"/>
      <c r="BB7" s="3">
        <v>3</v>
      </c>
      <c r="BC7" s="3">
        <v>25</v>
      </c>
    </row>
    <row r="8" spans="1:55" x14ac:dyDescent="0.25">
      <c r="A8" s="2">
        <v>1997</v>
      </c>
      <c r="B8" s="3"/>
      <c r="C8" s="3"/>
      <c r="D8" s="3"/>
      <c r="E8" s="3"/>
      <c r="F8" s="3">
        <v>2</v>
      </c>
      <c r="G8" s="3"/>
      <c r="H8" s="3"/>
      <c r="I8" s="3">
        <v>2</v>
      </c>
      <c r="J8" s="3"/>
      <c r="K8" s="3"/>
      <c r="L8" s="3"/>
      <c r="M8" s="3"/>
      <c r="N8" s="3">
        <v>7</v>
      </c>
      <c r="O8" s="3"/>
      <c r="P8" s="3"/>
      <c r="Q8" s="3"/>
      <c r="R8" s="3">
        <v>7</v>
      </c>
      <c r="S8" s="3"/>
      <c r="T8" s="3"/>
      <c r="U8" s="3"/>
      <c r="V8" s="3"/>
      <c r="W8" s="3">
        <v>3</v>
      </c>
      <c r="X8" s="3"/>
      <c r="Y8" s="3"/>
      <c r="Z8" s="3"/>
      <c r="AA8" s="3">
        <v>3</v>
      </c>
      <c r="AB8" s="3"/>
      <c r="AC8" s="3"/>
      <c r="AD8" s="3"/>
      <c r="AE8" s="3"/>
      <c r="AF8" s="3">
        <v>10</v>
      </c>
      <c r="AG8" s="3"/>
      <c r="AH8" s="3"/>
      <c r="AI8" s="3"/>
      <c r="AJ8" s="3">
        <v>10</v>
      </c>
      <c r="AK8" s="3"/>
      <c r="AL8" s="3"/>
      <c r="AM8" s="3"/>
      <c r="AN8" s="3"/>
      <c r="AO8" s="3">
        <v>2</v>
      </c>
      <c r="AP8" s="3"/>
      <c r="AQ8" s="3"/>
      <c r="AR8" s="3"/>
      <c r="AS8" s="3">
        <v>2</v>
      </c>
      <c r="AT8" s="3"/>
      <c r="AU8" s="3"/>
      <c r="AV8" s="3"/>
      <c r="AW8" s="3"/>
      <c r="AX8" s="3">
        <v>9</v>
      </c>
      <c r="AY8" s="3"/>
      <c r="AZ8" s="3"/>
      <c r="BA8" s="3"/>
      <c r="BB8" s="3">
        <v>9</v>
      </c>
      <c r="BC8" s="3">
        <v>33</v>
      </c>
    </row>
    <row r="9" spans="1:55" x14ac:dyDescent="0.25">
      <c r="A9" s="2">
        <v>1998</v>
      </c>
      <c r="B9" s="3"/>
      <c r="C9" s="3"/>
      <c r="D9" s="3"/>
      <c r="E9" s="3"/>
      <c r="F9" s="3"/>
      <c r="G9" s="3">
        <v>7</v>
      </c>
      <c r="H9" s="3"/>
      <c r="I9" s="3">
        <v>7</v>
      </c>
      <c r="J9" s="3"/>
      <c r="K9" s="3"/>
      <c r="L9" s="3"/>
      <c r="M9" s="3"/>
      <c r="N9" s="3"/>
      <c r="O9" s="3">
        <v>10</v>
      </c>
      <c r="P9" s="3"/>
      <c r="Q9" s="3"/>
      <c r="R9" s="3">
        <v>10</v>
      </c>
      <c r="S9" s="3"/>
      <c r="T9" s="3"/>
      <c r="U9" s="3"/>
      <c r="V9" s="3"/>
      <c r="W9" s="3"/>
      <c r="X9" s="3">
        <v>3</v>
      </c>
      <c r="Y9" s="3"/>
      <c r="Z9" s="3"/>
      <c r="AA9" s="3">
        <v>3</v>
      </c>
      <c r="AB9" s="3"/>
      <c r="AC9" s="3"/>
      <c r="AD9" s="3"/>
      <c r="AE9" s="3"/>
      <c r="AF9" s="3"/>
      <c r="AG9" s="3">
        <v>9</v>
      </c>
      <c r="AH9" s="3"/>
      <c r="AI9" s="3"/>
      <c r="AJ9" s="3">
        <v>9</v>
      </c>
      <c r="AK9" s="3"/>
      <c r="AL9" s="3"/>
      <c r="AM9" s="3"/>
      <c r="AN9" s="3"/>
      <c r="AO9" s="3"/>
      <c r="AP9" s="3">
        <v>10</v>
      </c>
      <c r="AQ9" s="3"/>
      <c r="AR9" s="3"/>
      <c r="AS9" s="3">
        <v>10</v>
      </c>
      <c r="AT9" s="3"/>
      <c r="AU9" s="3"/>
      <c r="AV9" s="3"/>
      <c r="AW9" s="3"/>
      <c r="AX9" s="3"/>
      <c r="AY9" s="3">
        <v>1</v>
      </c>
      <c r="AZ9" s="3"/>
      <c r="BA9" s="3"/>
      <c r="BB9" s="3">
        <v>1</v>
      </c>
      <c r="BC9" s="3">
        <v>40</v>
      </c>
    </row>
    <row r="10" spans="1:55" x14ac:dyDescent="0.25">
      <c r="A10" s="2">
        <v>1999</v>
      </c>
      <c r="B10" s="3"/>
      <c r="C10" s="3"/>
      <c r="D10" s="3"/>
      <c r="E10" s="3"/>
      <c r="F10" s="3"/>
      <c r="G10" s="3"/>
      <c r="H10" s="3">
        <v>6</v>
      </c>
      <c r="I10" s="3">
        <v>6</v>
      </c>
      <c r="J10" s="3"/>
      <c r="K10" s="3"/>
      <c r="L10" s="3"/>
      <c r="M10" s="3"/>
      <c r="N10" s="3"/>
      <c r="O10" s="3"/>
      <c r="P10" s="3">
        <v>2</v>
      </c>
      <c r="Q10" s="3"/>
      <c r="R10" s="3">
        <v>2</v>
      </c>
      <c r="S10" s="3"/>
      <c r="T10" s="3"/>
      <c r="U10" s="3"/>
      <c r="V10" s="3"/>
      <c r="W10" s="3"/>
      <c r="X10" s="3"/>
      <c r="Y10" s="3">
        <v>8</v>
      </c>
      <c r="Z10" s="3"/>
      <c r="AA10" s="3">
        <v>8</v>
      </c>
      <c r="AB10" s="3"/>
      <c r="AC10" s="3"/>
      <c r="AD10" s="3"/>
      <c r="AE10" s="3"/>
      <c r="AF10" s="3"/>
      <c r="AG10" s="3"/>
      <c r="AH10" s="3">
        <v>2</v>
      </c>
      <c r="AI10" s="3"/>
      <c r="AJ10" s="3">
        <v>2</v>
      </c>
      <c r="AK10" s="3"/>
      <c r="AL10" s="3"/>
      <c r="AM10" s="3"/>
      <c r="AN10" s="3"/>
      <c r="AO10" s="3"/>
      <c r="AP10" s="3"/>
      <c r="AQ10" s="3">
        <v>10</v>
      </c>
      <c r="AR10" s="3"/>
      <c r="AS10" s="3">
        <v>10</v>
      </c>
      <c r="AT10" s="3"/>
      <c r="AU10" s="3"/>
      <c r="AV10" s="3"/>
      <c r="AW10" s="3"/>
      <c r="AX10" s="3"/>
      <c r="AY10" s="3"/>
      <c r="AZ10" s="3">
        <v>6</v>
      </c>
      <c r="BA10" s="3"/>
      <c r="BB10" s="3">
        <v>6</v>
      </c>
      <c r="BC10" s="3">
        <v>34</v>
      </c>
    </row>
    <row r="11" spans="1:55" x14ac:dyDescent="0.25">
      <c r="A11" s="2">
        <v>2000</v>
      </c>
      <c r="B11" s="3">
        <v>2</v>
      </c>
      <c r="C11" s="3"/>
      <c r="D11" s="3"/>
      <c r="E11" s="3"/>
      <c r="F11" s="3"/>
      <c r="G11" s="3"/>
      <c r="H11" s="3"/>
      <c r="I11" s="3">
        <v>2</v>
      </c>
      <c r="J11" s="3"/>
      <c r="K11" s="3"/>
      <c r="L11" s="3"/>
      <c r="M11" s="3"/>
      <c r="N11" s="3"/>
      <c r="O11" s="3"/>
      <c r="P11" s="3"/>
      <c r="Q11" s="3">
        <v>6</v>
      </c>
      <c r="R11" s="3">
        <v>6</v>
      </c>
      <c r="S11" s="3"/>
      <c r="T11" s="3"/>
      <c r="U11" s="3"/>
      <c r="V11" s="3"/>
      <c r="W11" s="3"/>
      <c r="X11" s="3"/>
      <c r="Y11" s="3"/>
      <c r="Z11" s="3">
        <v>8</v>
      </c>
      <c r="AA11" s="3">
        <v>8</v>
      </c>
      <c r="AB11" s="3"/>
      <c r="AC11" s="3"/>
      <c r="AD11" s="3"/>
      <c r="AE11" s="3"/>
      <c r="AF11" s="3"/>
      <c r="AG11" s="3"/>
      <c r="AH11" s="3"/>
      <c r="AI11" s="3">
        <v>8</v>
      </c>
      <c r="AJ11" s="3">
        <v>8</v>
      </c>
      <c r="AK11" s="3"/>
      <c r="AL11" s="3"/>
      <c r="AM11" s="3"/>
      <c r="AN11" s="3"/>
      <c r="AO11" s="3"/>
      <c r="AP11" s="3"/>
      <c r="AQ11" s="3"/>
      <c r="AR11" s="3">
        <v>3</v>
      </c>
      <c r="AS11" s="3">
        <v>3</v>
      </c>
      <c r="AT11" s="3"/>
      <c r="AU11" s="3"/>
      <c r="AV11" s="3"/>
      <c r="AW11" s="3"/>
      <c r="AX11" s="3"/>
      <c r="AY11" s="3"/>
      <c r="AZ11" s="3"/>
      <c r="BA11" s="3">
        <v>3</v>
      </c>
      <c r="BB11" s="3">
        <v>3</v>
      </c>
      <c r="BC11" s="3">
        <v>30</v>
      </c>
    </row>
    <row r="12" spans="1:55" x14ac:dyDescent="0.25">
      <c r="A12" s="2" t="s">
        <v>9</v>
      </c>
      <c r="B12" s="3">
        <v>4</v>
      </c>
      <c r="C12" s="3">
        <v>10</v>
      </c>
      <c r="D12" s="3">
        <v>4</v>
      </c>
      <c r="E12" s="3">
        <v>6</v>
      </c>
      <c r="F12" s="3">
        <v>2</v>
      </c>
      <c r="G12" s="3">
        <v>7</v>
      </c>
      <c r="H12" s="3">
        <v>6</v>
      </c>
      <c r="I12" s="3">
        <v>39</v>
      </c>
      <c r="J12" s="3">
        <v>1</v>
      </c>
      <c r="K12" s="3">
        <v>1</v>
      </c>
      <c r="L12" s="3">
        <v>9</v>
      </c>
      <c r="M12" s="3">
        <v>5</v>
      </c>
      <c r="N12" s="3">
        <v>7</v>
      </c>
      <c r="O12" s="3">
        <v>10</v>
      </c>
      <c r="P12" s="3">
        <v>2</v>
      </c>
      <c r="Q12" s="3">
        <v>6</v>
      </c>
      <c r="R12" s="3">
        <v>41</v>
      </c>
      <c r="S12" s="3">
        <v>4</v>
      </c>
      <c r="T12" s="3">
        <v>5</v>
      </c>
      <c r="U12" s="3">
        <v>7</v>
      </c>
      <c r="V12" s="3">
        <v>2</v>
      </c>
      <c r="W12" s="3">
        <v>3</v>
      </c>
      <c r="X12" s="3">
        <v>3</v>
      </c>
      <c r="Y12" s="3">
        <v>8</v>
      </c>
      <c r="Z12" s="3">
        <v>8</v>
      </c>
      <c r="AA12" s="3">
        <v>40</v>
      </c>
      <c r="AB12" s="3">
        <v>7</v>
      </c>
      <c r="AC12" s="3">
        <v>9</v>
      </c>
      <c r="AD12" s="3">
        <v>5</v>
      </c>
      <c r="AE12" s="3">
        <v>7</v>
      </c>
      <c r="AF12" s="3">
        <v>10</v>
      </c>
      <c r="AG12" s="3">
        <v>9</v>
      </c>
      <c r="AH12" s="3">
        <v>2</v>
      </c>
      <c r="AI12" s="3">
        <v>8</v>
      </c>
      <c r="AJ12" s="3">
        <v>57</v>
      </c>
      <c r="AK12" s="3">
        <v>7</v>
      </c>
      <c r="AL12" s="3">
        <v>5</v>
      </c>
      <c r="AM12" s="3">
        <v>9</v>
      </c>
      <c r="AN12" s="3">
        <v>2</v>
      </c>
      <c r="AO12" s="3">
        <v>2</v>
      </c>
      <c r="AP12" s="3">
        <v>10</v>
      </c>
      <c r="AQ12" s="3">
        <v>10</v>
      </c>
      <c r="AR12" s="3">
        <v>3</v>
      </c>
      <c r="AS12" s="3">
        <v>48</v>
      </c>
      <c r="AT12" s="3">
        <v>3</v>
      </c>
      <c r="AU12" s="3">
        <v>4</v>
      </c>
      <c r="AV12" s="3">
        <v>4</v>
      </c>
      <c r="AW12" s="3">
        <v>3</v>
      </c>
      <c r="AX12" s="3">
        <v>9</v>
      </c>
      <c r="AY12" s="3">
        <v>1</v>
      </c>
      <c r="AZ12" s="3">
        <v>6</v>
      </c>
      <c r="BA12" s="3">
        <v>3</v>
      </c>
      <c r="BB12" s="3">
        <v>33</v>
      </c>
      <c r="BC12" s="3">
        <v>258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98"/>
  <sheetViews>
    <sheetView zoomScaleNormal="100" workbookViewId="0">
      <selection activeCell="E16" sqref="E16"/>
    </sheetView>
  </sheetViews>
  <sheetFormatPr defaultRowHeight="15" x14ac:dyDescent="0.25"/>
  <cols>
    <col min="1" max="2" width="24" bestFit="1" customWidth="1"/>
    <col min="3" max="3" width="23" bestFit="1" customWidth="1"/>
    <col min="4" max="5" width="24" bestFit="1" customWidth="1"/>
    <col min="6" max="6" width="23" bestFit="1" customWidth="1"/>
    <col min="8" max="8" width="32.5703125" customWidth="1"/>
  </cols>
  <sheetData>
    <row r="1" spans="1:8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H1" s="7">
        <f ca="1">OFFSET($A$1,
MOD(ROW()-ROW($F$1),ROWS($A$1:$A$8)),
TRUNC((ROW()-ROW($F$1))/ROWS($A$1:$A$8)),1,1)</f>
        <v>1</v>
      </c>
    </row>
    <row r="2" spans="1:8" x14ac:dyDescent="0.25">
      <c r="A2">
        <v>7</v>
      </c>
      <c r="B2">
        <v>8</v>
      </c>
      <c r="C2">
        <v>9</v>
      </c>
      <c r="D2">
        <v>10</v>
      </c>
      <c r="E2">
        <v>11</v>
      </c>
      <c r="F2">
        <v>12</v>
      </c>
      <c r="H2">
        <f t="shared" ref="H2:H48" ca="1" si="0">OFFSET($A$1,
MOD(ROW()-ROW($F$1),ROWS($A$1:$A$8)),
TRUNC((ROW()-ROW($F$1))/ROWS($A$1:$A$8)),1,1)</f>
        <v>7</v>
      </c>
    </row>
    <row r="3" spans="1:8" x14ac:dyDescent="0.25">
      <c r="A3">
        <v>13</v>
      </c>
      <c r="B3">
        <v>14</v>
      </c>
      <c r="C3">
        <v>15</v>
      </c>
      <c r="D3">
        <v>16</v>
      </c>
      <c r="E3">
        <v>17</v>
      </c>
      <c r="F3">
        <v>18</v>
      </c>
      <c r="H3">
        <f t="shared" ca="1" si="0"/>
        <v>13</v>
      </c>
    </row>
    <row r="4" spans="1:8" x14ac:dyDescent="0.25">
      <c r="A4">
        <v>19</v>
      </c>
      <c r="B4">
        <v>20</v>
      </c>
      <c r="C4">
        <v>21</v>
      </c>
      <c r="D4">
        <v>22</v>
      </c>
      <c r="E4">
        <v>23</v>
      </c>
      <c r="F4">
        <v>24</v>
      </c>
      <c r="H4">
        <f t="shared" ca="1" si="0"/>
        <v>19</v>
      </c>
    </row>
    <row r="5" spans="1:8" x14ac:dyDescent="0.25">
      <c r="A5">
        <v>25</v>
      </c>
      <c r="B5">
        <v>26</v>
      </c>
      <c r="C5">
        <v>27</v>
      </c>
      <c r="D5">
        <v>28</v>
      </c>
      <c r="E5">
        <v>29</v>
      </c>
      <c r="F5">
        <v>30</v>
      </c>
      <c r="H5">
        <f t="shared" ca="1" si="0"/>
        <v>25</v>
      </c>
    </row>
    <row r="6" spans="1:8" x14ac:dyDescent="0.25">
      <c r="A6">
        <v>31</v>
      </c>
      <c r="B6">
        <v>32</v>
      </c>
      <c r="C6">
        <v>33</v>
      </c>
      <c r="D6">
        <v>34</v>
      </c>
      <c r="E6">
        <v>35</v>
      </c>
      <c r="F6">
        <v>36</v>
      </c>
      <c r="H6">
        <f t="shared" ca="1" si="0"/>
        <v>31</v>
      </c>
    </row>
    <row r="7" spans="1:8" x14ac:dyDescent="0.25">
      <c r="A7">
        <v>37</v>
      </c>
      <c r="B7">
        <v>38</v>
      </c>
      <c r="C7">
        <v>39</v>
      </c>
      <c r="D7">
        <v>40</v>
      </c>
      <c r="E7">
        <v>41</v>
      </c>
      <c r="F7">
        <v>42</v>
      </c>
      <c r="H7">
        <f t="shared" ca="1" si="0"/>
        <v>37</v>
      </c>
    </row>
    <row r="8" spans="1:8" x14ac:dyDescent="0.25">
      <c r="A8">
        <v>43</v>
      </c>
      <c r="B8">
        <v>44</v>
      </c>
      <c r="C8">
        <v>45</v>
      </c>
      <c r="D8">
        <v>46</v>
      </c>
      <c r="E8">
        <v>47</v>
      </c>
      <c r="F8">
        <v>48</v>
      </c>
      <c r="H8">
        <f t="shared" ca="1" si="0"/>
        <v>43</v>
      </c>
    </row>
    <row r="9" spans="1:8" x14ac:dyDescent="0.25">
      <c r="H9">
        <f t="shared" ca="1" si="0"/>
        <v>2</v>
      </c>
    </row>
    <row r="10" spans="1:8" x14ac:dyDescent="0.25">
      <c r="H10">
        <f t="shared" ca="1" si="0"/>
        <v>8</v>
      </c>
    </row>
    <row r="11" spans="1:8" x14ac:dyDescent="0.25">
      <c r="H11">
        <f t="shared" ca="1" si="0"/>
        <v>14</v>
      </c>
    </row>
    <row r="12" spans="1:8" x14ac:dyDescent="0.25">
      <c r="H12">
        <f t="shared" ca="1" si="0"/>
        <v>20</v>
      </c>
    </row>
    <row r="13" spans="1:8" x14ac:dyDescent="0.25">
      <c r="H13">
        <f t="shared" ca="1" si="0"/>
        <v>26</v>
      </c>
    </row>
    <row r="14" spans="1:8" x14ac:dyDescent="0.25">
      <c r="H14">
        <f t="shared" ca="1" si="0"/>
        <v>32</v>
      </c>
    </row>
    <row r="15" spans="1:8" x14ac:dyDescent="0.25">
      <c r="H15">
        <f t="shared" ca="1" si="0"/>
        <v>38</v>
      </c>
    </row>
    <row r="16" spans="1:8" x14ac:dyDescent="0.25">
      <c r="H16">
        <f t="shared" ca="1" si="0"/>
        <v>44</v>
      </c>
    </row>
    <row r="17" spans="8:8" x14ac:dyDescent="0.25">
      <c r="H17">
        <f t="shared" ca="1" si="0"/>
        <v>3</v>
      </c>
    </row>
    <row r="18" spans="8:8" x14ac:dyDescent="0.25">
      <c r="H18">
        <f t="shared" ca="1" si="0"/>
        <v>9</v>
      </c>
    </row>
    <row r="19" spans="8:8" x14ac:dyDescent="0.25">
      <c r="H19">
        <f t="shared" ca="1" si="0"/>
        <v>15</v>
      </c>
    </row>
    <row r="20" spans="8:8" x14ac:dyDescent="0.25">
      <c r="H20">
        <f t="shared" ca="1" si="0"/>
        <v>21</v>
      </c>
    </row>
    <row r="21" spans="8:8" x14ac:dyDescent="0.25">
      <c r="H21">
        <f t="shared" ca="1" si="0"/>
        <v>27</v>
      </c>
    </row>
    <row r="22" spans="8:8" x14ac:dyDescent="0.25">
      <c r="H22">
        <f t="shared" ca="1" si="0"/>
        <v>33</v>
      </c>
    </row>
    <row r="23" spans="8:8" x14ac:dyDescent="0.25">
      <c r="H23">
        <f t="shared" ca="1" si="0"/>
        <v>39</v>
      </c>
    </row>
    <row r="24" spans="8:8" x14ac:dyDescent="0.25">
      <c r="H24">
        <f t="shared" ca="1" si="0"/>
        <v>45</v>
      </c>
    </row>
    <row r="25" spans="8:8" x14ac:dyDescent="0.25">
      <c r="H25">
        <f t="shared" ca="1" si="0"/>
        <v>4</v>
      </c>
    </row>
    <row r="26" spans="8:8" x14ac:dyDescent="0.25">
      <c r="H26">
        <f t="shared" ca="1" si="0"/>
        <v>10</v>
      </c>
    </row>
    <row r="27" spans="8:8" x14ac:dyDescent="0.25">
      <c r="H27">
        <f t="shared" ca="1" si="0"/>
        <v>16</v>
      </c>
    </row>
    <row r="28" spans="8:8" x14ac:dyDescent="0.25">
      <c r="H28">
        <f t="shared" ca="1" si="0"/>
        <v>22</v>
      </c>
    </row>
    <row r="29" spans="8:8" x14ac:dyDescent="0.25">
      <c r="H29">
        <f t="shared" ca="1" si="0"/>
        <v>28</v>
      </c>
    </row>
    <row r="30" spans="8:8" x14ac:dyDescent="0.25">
      <c r="H30">
        <f t="shared" ca="1" si="0"/>
        <v>34</v>
      </c>
    </row>
    <row r="31" spans="8:8" x14ac:dyDescent="0.25">
      <c r="H31">
        <f t="shared" ca="1" si="0"/>
        <v>40</v>
      </c>
    </row>
    <row r="32" spans="8:8" x14ac:dyDescent="0.25">
      <c r="H32">
        <f t="shared" ca="1" si="0"/>
        <v>46</v>
      </c>
    </row>
    <row r="33" spans="8:8" x14ac:dyDescent="0.25">
      <c r="H33">
        <f t="shared" ca="1" si="0"/>
        <v>5</v>
      </c>
    </row>
    <row r="34" spans="8:8" x14ac:dyDescent="0.25">
      <c r="H34">
        <f t="shared" ca="1" si="0"/>
        <v>11</v>
      </c>
    </row>
    <row r="35" spans="8:8" x14ac:dyDescent="0.25">
      <c r="H35">
        <f t="shared" ca="1" si="0"/>
        <v>17</v>
      </c>
    </row>
    <row r="36" spans="8:8" x14ac:dyDescent="0.25">
      <c r="H36">
        <f t="shared" ca="1" si="0"/>
        <v>23</v>
      </c>
    </row>
    <row r="37" spans="8:8" x14ac:dyDescent="0.25">
      <c r="H37">
        <f t="shared" ca="1" si="0"/>
        <v>29</v>
      </c>
    </row>
    <row r="38" spans="8:8" x14ac:dyDescent="0.25">
      <c r="H38">
        <f t="shared" ca="1" si="0"/>
        <v>35</v>
      </c>
    </row>
    <row r="39" spans="8:8" x14ac:dyDescent="0.25">
      <c r="H39">
        <f t="shared" ca="1" si="0"/>
        <v>41</v>
      </c>
    </row>
    <row r="40" spans="8:8" x14ac:dyDescent="0.25">
      <c r="H40">
        <f t="shared" ca="1" si="0"/>
        <v>47</v>
      </c>
    </row>
    <row r="41" spans="8:8" x14ac:dyDescent="0.25">
      <c r="H41">
        <f t="shared" ca="1" si="0"/>
        <v>6</v>
      </c>
    </row>
    <row r="42" spans="8:8" x14ac:dyDescent="0.25">
      <c r="H42">
        <f t="shared" ca="1" si="0"/>
        <v>12</v>
      </c>
    </row>
    <row r="43" spans="8:8" x14ac:dyDescent="0.25">
      <c r="H43">
        <f t="shared" ca="1" si="0"/>
        <v>18</v>
      </c>
    </row>
    <row r="44" spans="8:8" x14ac:dyDescent="0.25">
      <c r="H44">
        <f t="shared" ca="1" si="0"/>
        <v>24</v>
      </c>
    </row>
    <row r="45" spans="8:8" x14ac:dyDescent="0.25">
      <c r="H45">
        <f t="shared" ca="1" si="0"/>
        <v>30</v>
      </c>
    </row>
    <row r="46" spans="8:8" x14ac:dyDescent="0.25">
      <c r="H46">
        <f t="shared" ca="1" si="0"/>
        <v>36</v>
      </c>
    </row>
    <row r="47" spans="8:8" x14ac:dyDescent="0.25">
      <c r="H47">
        <f t="shared" ca="1" si="0"/>
        <v>42</v>
      </c>
    </row>
    <row r="48" spans="8:8" x14ac:dyDescent="0.25">
      <c r="H48">
        <f t="shared" ca="1" si="0"/>
        <v>48</v>
      </c>
    </row>
    <row r="50" spans="1:4" x14ac:dyDescent="0.25">
      <c r="A50" s="6" t="s">
        <v>0</v>
      </c>
      <c r="B50" s="6" t="s">
        <v>115</v>
      </c>
      <c r="C50" s="6" t="s">
        <v>1</v>
      </c>
      <c r="D50" s="6" t="s">
        <v>2</v>
      </c>
    </row>
    <row r="51" spans="1:4" x14ac:dyDescent="0.25">
      <c r="A51">
        <v>1993</v>
      </c>
      <c r="B51" t="s">
        <v>106</v>
      </c>
      <c r="C51">
        <v>2</v>
      </c>
      <c r="D51" t="s">
        <v>107</v>
      </c>
    </row>
    <row r="52" spans="1:4" x14ac:dyDescent="0.25">
      <c r="A52">
        <v>1994</v>
      </c>
      <c r="B52" t="s">
        <v>106</v>
      </c>
      <c r="C52">
        <v>10</v>
      </c>
      <c r="D52" t="s">
        <v>108</v>
      </c>
    </row>
    <row r="53" spans="1:4" x14ac:dyDescent="0.25">
      <c r="A53">
        <v>1995</v>
      </c>
      <c r="B53" t="s">
        <v>106</v>
      </c>
      <c r="C53">
        <v>4</v>
      </c>
      <c r="D53" t="s">
        <v>109</v>
      </c>
    </row>
    <row r="54" spans="1:4" x14ac:dyDescent="0.25">
      <c r="A54">
        <v>1996</v>
      </c>
      <c r="B54" t="s">
        <v>106</v>
      </c>
      <c r="C54">
        <v>6</v>
      </c>
      <c r="D54" t="s">
        <v>110</v>
      </c>
    </row>
    <row r="55" spans="1:4" x14ac:dyDescent="0.25">
      <c r="A55">
        <v>1997</v>
      </c>
      <c r="B55" t="s">
        <v>106</v>
      </c>
      <c r="C55">
        <v>2</v>
      </c>
      <c r="D55" t="s">
        <v>111</v>
      </c>
    </row>
    <row r="56" spans="1:4" x14ac:dyDescent="0.25">
      <c r="A56">
        <v>1998</v>
      </c>
      <c r="B56" t="s">
        <v>106</v>
      </c>
      <c r="C56">
        <v>7</v>
      </c>
      <c r="D56" t="s">
        <v>112</v>
      </c>
    </row>
    <row r="57" spans="1:4" x14ac:dyDescent="0.25">
      <c r="A57">
        <v>1999</v>
      </c>
      <c r="B57" t="s">
        <v>106</v>
      </c>
      <c r="C57">
        <v>6</v>
      </c>
      <c r="D57" t="s">
        <v>113</v>
      </c>
    </row>
    <row r="58" spans="1:4" x14ac:dyDescent="0.25">
      <c r="A58">
        <v>2000</v>
      </c>
      <c r="B58" t="s">
        <v>106</v>
      </c>
      <c r="C58">
        <v>2</v>
      </c>
      <c r="D58" t="s">
        <v>107</v>
      </c>
    </row>
    <row r="59" spans="1:4" x14ac:dyDescent="0.25">
      <c r="A59">
        <v>1993</v>
      </c>
      <c r="B59" t="s">
        <v>4</v>
      </c>
      <c r="C59">
        <v>1</v>
      </c>
      <c r="D59" t="s">
        <v>107</v>
      </c>
    </row>
    <row r="60" spans="1:4" x14ac:dyDescent="0.25">
      <c r="A60">
        <v>1994</v>
      </c>
      <c r="B60" t="s">
        <v>4</v>
      </c>
      <c r="C60">
        <v>1</v>
      </c>
      <c r="D60" t="s">
        <v>108</v>
      </c>
    </row>
    <row r="61" spans="1:4" x14ac:dyDescent="0.25">
      <c r="A61">
        <v>1995</v>
      </c>
      <c r="B61" t="s">
        <v>4</v>
      </c>
      <c r="C61">
        <v>9</v>
      </c>
      <c r="D61" t="s">
        <v>109</v>
      </c>
    </row>
    <row r="62" spans="1:4" x14ac:dyDescent="0.25">
      <c r="A62">
        <v>1996</v>
      </c>
      <c r="B62" t="s">
        <v>4</v>
      </c>
      <c r="C62">
        <v>5</v>
      </c>
      <c r="D62" t="s">
        <v>110</v>
      </c>
    </row>
    <row r="63" spans="1:4" x14ac:dyDescent="0.25">
      <c r="A63">
        <v>1997</v>
      </c>
      <c r="B63" t="s">
        <v>4</v>
      </c>
      <c r="C63">
        <v>7</v>
      </c>
      <c r="D63" t="s">
        <v>111</v>
      </c>
    </row>
    <row r="64" spans="1:4" x14ac:dyDescent="0.25">
      <c r="A64">
        <v>1998</v>
      </c>
      <c r="B64" t="s">
        <v>4</v>
      </c>
      <c r="C64">
        <v>10</v>
      </c>
      <c r="D64" t="s">
        <v>112</v>
      </c>
    </row>
    <row r="65" spans="1:4" x14ac:dyDescent="0.25">
      <c r="A65">
        <v>1999</v>
      </c>
      <c r="B65" t="s">
        <v>4</v>
      </c>
      <c r="C65">
        <v>2</v>
      </c>
      <c r="D65" t="s">
        <v>113</v>
      </c>
    </row>
    <row r="66" spans="1:4" x14ac:dyDescent="0.25">
      <c r="A66">
        <v>2000</v>
      </c>
      <c r="B66" t="s">
        <v>4</v>
      </c>
      <c r="C66">
        <v>6</v>
      </c>
      <c r="D66" t="s">
        <v>114</v>
      </c>
    </row>
    <row r="67" spans="1:4" x14ac:dyDescent="0.25">
      <c r="A67">
        <v>1993</v>
      </c>
      <c r="B67" t="s">
        <v>5</v>
      </c>
      <c r="C67">
        <v>4</v>
      </c>
      <c r="D67" t="s">
        <v>107</v>
      </c>
    </row>
    <row r="68" spans="1:4" x14ac:dyDescent="0.25">
      <c r="A68">
        <v>1994</v>
      </c>
      <c r="B68" t="s">
        <v>5</v>
      </c>
      <c r="C68">
        <v>5</v>
      </c>
      <c r="D68" t="s">
        <v>108</v>
      </c>
    </row>
    <row r="69" spans="1:4" x14ac:dyDescent="0.25">
      <c r="A69">
        <v>1995</v>
      </c>
      <c r="B69" t="s">
        <v>5</v>
      </c>
      <c r="C69">
        <v>7</v>
      </c>
      <c r="D69" t="s">
        <v>109</v>
      </c>
    </row>
    <row r="70" spans="1:4" x14ac:dyDescent="0.25">
      <c r="A70">
        <v>1996</v>
      </c>
      <c r="B70" t="s">
        <v>5</v>
      </c>
      <c r="C70">
        <v>2</v>
      </c>
      <c r="D70" t="s">
        <v>110</v>
      </c>
    </row>
    <row r="71" spans="1:4" x14ac:dyDescent="0.25">
      <c r="A71">
        <v>1997</v>
      </c>
      <c r="B71" t="s">
        <v>5</v>
      </c>
      <c r="C71">
        <v>3</v>
      </c>
      <c r="D71" t="s">
        <v>111</v>
      </c>
    </row>
    <row r="72" spans="1:4" x14ac:dyDescent="0.25">
      <c r="A72">
        <v>1998</v>
      </c>
      <c r="B72" t="s">
        <v>5</v>
      </c>
      <c r="C72">
        <v>3</v>
      </c>
      <c r="D72" t="s">
        <v>112</v>
      </c>
    </row>
    <row r="73" spans="1:4" x14ac:dyDescent="0.25">
      <c r="A73">
        <v>1999</v>
      </c>
      <c r="B73" t="s">
        <v>5</v>
      </c>
      <c r="C73">
        <v>8</v>
      </c>
      <c r="D73" t="s">
        <v>113</v>
      </c>
    </row>
    <row r="74" spans="1:4" x14ac:dyDescent="0.25">
      <c r="A74">
        <v>2000</v>
      </c>
      <c r="B74" t="s">
        <v>5</v>
      </c>
      <c r="C74">
        <v>8</v>
      </c>
      <c r="D74" t="s">
        <v>114</v>
      </c>
    </row>
    <row r="75" spans="1:4" x14ac:dyDescent="0.25">
      <c r="A75">
        <v>1993</v>
      </c>
      <c r="B75" t="s">
        <v>6</v>
      </c>
      <c r="C75">
        <v>7</v>
      </c>
      <c r="D75" t="s">
        <v>107</v>
      </c>
    </row>
    <row r="76" spans="1:4" x14ac:dyDescent="0.25">
      <c r="A76">
        <v>1994</v>
      </c>
      <c r="B76" t="s">
        <v>6</v>
      </c>
      <c r="C76">
        <v>9</v>
      </c>
      <c r="D76" t="s">
        <v>108</v>
      </c>
    </row>
    <row r="77" spans="1:4" x14ac:dyDescent="0.25">
      <c r="A77">
        <v>1995</v>
      </c>
      <c r="B77" t="s">
        <v>6</v>
      </c>
      <c r="C77">
        <v>5</v>
      </c>
      <c r="D77" t="s">
        <v>109</v>
      </c>
    </row>
    <row r="78" spans="1:4" x14ac:dyDescent="0.25">
      <c r="A78">
        <v>1996</v>
      </c>
      <c r="B78" t="s">
        <v>6</v>
      </c>
      <c r="C78">
        <v>7</v>
      </c>
      <c r="D78" t="s">
        <v>110</v>
      </c>
    </row>
    <row r="79" spans="1:4" x14ac:dyDescent="0.25">
      <c r="A79">
        <v>1997</v>
      </c>
      <c r="B79" t="s">
        <v>6</v>
      </c>
      <c r="C79">
        <v>10</v>
      </c>
      <c r="D79" t="s">
        <v>111</v>
      </c>
    </row>
    <row r="80" spans="1:4" x14ac:dyDescent="0.25">
      <c r="A80">
        <v>1998</v>
      </c>
      <c r="B80" t="s">
        <v>6</v>
      </c>
      <c r="C80">
        <v>9</v>
      </c>
      <c r="D80" t="s">
        <v>112</v>
      </c>
    </row>
    <row r="81" spans="1:4" x14ac:dyDescent="0.25">
      <c r="A81">
        <v>1999</v>
      </c>
      <c r="B81" t="s">
        <v>6</v>
      </c>
      <c r="C81">
        <v>2</v>
      </c>
      <c r="D81" t="s">
        <v>113</v>
      </c>
    </row>
    <row r="82" spans="1:4" x14ac:dyDescent="0.25">
      <c r="A82">
        <v>2000</v>
      </c>
      <c r="B82" t="s">
        <v>6</v>
      </c>
      <c r="C82">
        <v>8</v>
      </c>
      <c r="D82" t="s">
        <v>114</v>
      </c>
    </row>
    <row r="83" spans="1:4" x14ac:dyDescent="0.25">
      <c r="A83">
        <v>1993</v>
      </c>
      <c r="B83" t="s">
        <v>16</v>
      </c>
      <c r="C83">
        <v>7</v>
      </c>
      <c r="D83" t="s">
        <v>107</v>
      </c>
    </row>
    <row r="84" spans="1:4" x14ac:dyDescent="0.25">
      <c r="A84">
        <v>1994</v>
      </c>
      <c r="B84" t="s">
        <v>16</v>
      </c>
      <c r="C84">
        <v>5</v>
      </c>
      <c r="D84" t="s">
        <v>108</v>
      </c>
    </row>
    <row r="85" spans="1:4" x14ac:dyDescent="0.25">
      <c r="A85">
        <v>1995</v>
      </c>
      <c r="B85" t="s">
        <v>16</v>
      </c>
      <c r="C85">
        <v>9</v>
      </c>
      <c r="D85" t="s">
        <v>109</v>
      </c>
    </row>
    <row r="86" spans="1:4" x14ac:dyDescent="0.25">
      <c r="A86">
        <v>1996</v>
      </c>
      <c r="B86" t="s">
        <v>16</v>
      </c>
      <c r="C86">
        <v>2</v>
      </c>
      <c r="D86" t="s">
        <v>110</v>
      </c>
    </row>
    <row r="87" spans="1:4" x14ac:dyDescent="0.25">
      <c r="A87">
        <v>1997</v>
      </c>
      <c r="B87" t="s">
        <v>16</v>
      </c>
      <c r="C87">
        <v>2</v>
      </c>
      <c r="D87" t="s">
        <v>111</v>
      </c>
    </row>
    <row r="88" spans="1:4" x14ac:dyDescent="0.25">
      <c r="A88">
        <v>1998</v>
      </c>
      <c r="B88" t="s">
        <v>16</v>
      </c>
      <c r="C88">
        <v>10</v>
      </c>
      <c r="D88" t="s">
        <v>112</v>
      </c>
    </row>
    <row r="89" spans="1:4" x14ac:dyDescent="0.25">
      <c r="A89">
        <v>1999</v>
      </c>
      <c r="B89" t="s">
        <v>16</v>
      </c>
      <c r="C89">
        <v>10</v>
      </c>
      <c r="D89" t="s">
        <v>113</v>
      </c>
    </row>
    <row r="90" spans="1:4" x14ac:dyDescent="0.25">
      <c r="A90">
        <v>2000</v>
      </c>
      <c r="B90" t="s">
        <v>16</v>
      </c>
      <c r="C90">
        <v>3</v>
      </c>
      <c r="D90" t="s">
        <v>114</v>
      </c>
    </row>
    <row r="91" spans="1:4" x14ac:dyDescent="0.25">
      <c r="A91">
        <v>1993</v>
      </c>
      <c r="B91" t="s">
        <v>17</v>
      </c>
      <c r="C91">
        <v>3</v>
      </c>
      <c r="D91" t="s">
        <v>107</v>
      </c>
    </row>
    <row r="92" spans="1:4" x14ac:dyDescent="0.25">
      <c r="A92">
        <v>1994</v>
      </c>
      <c r="B92" t="s">
        <v>17</v>
      </c>
      <c r="C92">
        <v>4</v>
      </c>
      <c r="D92" t="s">
        <v>108</v>
      </c>
    </row>
    <row r="93" spans="1:4" x14ac:dyDescent="0.25">
      <c r="A93">
        <v>1995</v>
      </c>
      <c r="B93" t="s">
        <v>17</v>
      </c>
      <c r="C93">
        <v>4</v>
      </c>
      <c r="D93" t="s">
        <v>109</v>
      </c>
    </row>
    <row r="94" spans="1:4" x14ac:dyDescent="0.25">
      <c r="A94">
        <v>1996</v>
      </c>
      <c r="B94" t="s">
        <v>17</v>
      </c>
      <c r="C94">
        <v>3</v>
      </c>
      <c r="D94" t="s">
        <v>110</v>
      </c>
    </row>
    <row r="95" spans="1:4" x14ac:dyDescent="0.25">
      <c r="A95">
        <v>1997</v>
      </c>
      <c r="B95" t="s">
        <v>17</v>
      </c>
      <c r="C95">
        <v>9</v>
      </c>
      <c r="D95" t="s">
        <v>111</v>
      </c>
    </row>
    <row r="96" spans="1:4" x14ac:dyDescent="0.25">
      <c r="A96">
        <v>1998</v>
      </c>
      <c r="B96" t="s">
        <v>17</v>
      </c>
      <c r="C96">
        <v>1</v>
      </c>
      <c r="D96" t="s">
        <v>112</v>
      </c>
    </row>
    <row r="97" spans="1:4" x14ac:dyDescent="0.25">
      <c r="A97">
        <v>1999</v>
      </c>
      <c r="B97" t="s">
        <v>17</v>
      </c>
      <c r="C97">
        <v>6</v>
      </c>
      <c r="D97" t="s">
        <v>113</v>
      </c>
    </row>
    <row r="98" spans="1:4" x14ac:dyDescent="0.25">
      <c r="A98">
        <v>2000</v>
      </c>
      <c r="B98" t="s">
        <v>17</v>
      </c>
      <c r="C98">
        <v>3</v>
      </c>
      <c r="D98" t="s">
        <v>114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5"/>
  <sheetViews>
    <sheetView topLeftCell="A7" zoomScale="85" zoomScaleNormal="85" workbookViewId="0">
      <selection activeCell="L24" sqref="L24:L31"/>
    </sheetView>
  </sheetViews>
  <sheetFormatPr defaultRowHeight="15" x14ac:dyDescent="0.25"/>
  <cols>
    <col min="11" max="11" width="31.28515625" customWidth="1"/>
  </cols>
  <sheetData>
    <row r="1" spans="1:8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</row>
    <row r="2" spans="1:8" x14ac:dyDescent="0.25">
      <c r="A2" t="s">
        <v>51</v>
      </c>
      <c r="B2" t="s">
        <v>35</v>
      </c>
      <c r="C2" t="s">
        <v>36</v>
      </c>
      <c r="D2" t="s">
        <v>37</v>
      </c>
      <c r="E2" s="4">
        <v>1992</v>
      </c>
      <c r="F2" s="4">
        <v>10</v>
      </c>
      <c r="G2" s="4">
        <v>11.07</v>
      </c>
      <c r="H2" s="4">
        <v>1.07</v>
      </c>
    </row>
    <row r="3" spans="1:8" x14ac:dyDescent="0.25">
      <c r="A3" t="s">
        <v>34</v>
      </c>
      <c r="B3" t="s">
        <v>35</v>
      </c>
      <c r="C3" t="s">
        <v>36</v>
      </c>
      <c r="D3" t="s">
        <v>37</v>
      </c>
      <c r="E3" s="4">
        <v>1992</v>
      </c>
      <c r="F3" s="4">
        <v>50.6</v>
      </c>
      <c r="G3" s="4">
        <v>58.582999999999998</v>
      </c>
      <c r="H3" s="4">
        <v>7.9829999999999997</v>
      </c>
    </row>
    <row r="4" spans="1:8" x14ac:dyDescent="0.25">
      <c r="A4" t="s">
        <v>38</v>
      </c>
      <c r="B4" t="s">
        <v>35</v>
      </c>
      <c r="C4" t="s">
        <v>36</v>
      </c>
      <c r="D4" t="s">
        <v>37</v>
      </c>
      <c r="E4" s="4">
        <v>1993</v>
      </c>
      <c r="F4" s="4">
        <v>24.524000000000001</v>
      </c>
      <c r="G4" s="4">
        <v>26.3</v>
      </c>
      <c r="H4" s="4">
        <v>1.776</v>
      </c>
    </row>
    <row r="5" spans="1:8" x14ac:dyDescent="0.25">
      <c r="A5" t="s">
        <v>39</v>
      </c>
      <c r="B5" t="s">
        <v>40</v>
      </c>
      <c r="C5" t="s">
        <v>36</v>
      </c>
      <c r="D5" t="s">
        <v>37</v>
      </c>
      <c r="E5" s="4">
        <v>2000</v>
      </c>
      <c r="F5" s="4">
        <v>50.6</v>
      </c>
      <c r="G5" s="4">
        <v>58.582999999999998</v>
      </c>
      <c r="H5" s="4">
        <v>7.9829999999999997</v>
      </c>
    </row>
    <row r="6" spans="1:8" x14ac:dyDescent="0.25">
      <c r="A6" t="s">
        <v>52</v>
      </c>
      <c r="B6" t="s">
        <v>44</v>
      </c>
      <c r="C6" t="s">
        <v>36</v>
      </c>
      <c r="D6" t="s">
        <v>37</v>
      </c>
      <c r="E6" s="4">
        <v>2001</v>
      </c>
      <c r="F6" s="4">
        <v>0</v>
      </c>
      <c r="G6" s="4">
        <v>8.1999999999999993</v>
      </c>
      <c r="H6" s="4">
        <v>8.1999999999999993</v>
      </c>
    </row>
    <row r="7" spans="1:8" x14ac:dyDescent="0.25">
      <c r="A7" t="s">
        <v>53</v>
      </c>
      <c r="B7" t="s">
        <v>35</v>
      </c>
      <c r="C7" t="s">
        <v>36</v>
      </c>
      <c r="D7" t="s">
        <v>37</v>
      </c>
      <c r="E7" s="4">
        <v>2001</v>
      </c>
      <c r="F7" s="4">
        <v>8.1999999999999993</v>
      </c>
      <c r="G7" s="4">
        <v>12.486000000000001</v>
      </c>
      <c r="H7" s="4">
        <v>4.2859999999999996</v>
      </c>
    </row>
    <row r="8" spans="1:8" x14ac:dyDescent="0.25">
      <c r="A8" t="s">
        <v>41</v>
      </c>
      <c r="B8" t="s">
        <v>42</v>
      </c>
      <c r="C8" t="s">
        <v>36</v>
      </c>
      <c r="D8" t="s">
        <v>37</v>
      </c>
      <c r="E8" s="4">
        <v>2001</v>
      </c>
      <c r="F8" s="4">
        <v>35.5</v>
      </c>
      <c r="G8" s="4">
        <v>39.5</v>
      </c>
      <c r="H8" s="4">
        <v>4</v>
      </c>
    </row>
    <row r="9" spans="1:8" x14ac:dyDescent="0.25">
      <c r="A9" t="s">
        <v>41</v>
      </c>
      <c r="B9" t="s">
        <v>42</v>
      </c>
      <c r="C9" t="s">
        <v>36</v>
      </c>
      <c r="D9" t="s">
        <v>37</v>
      </c>
      <c r="E9" s="4">
        <v>2001</v>
      </c>
      <c r="F9" s="4">
        <v>39.5</v>
      </c>
      <c r="G9" s="4">
        <v>42</v>
      </c>
      <c r="H9" s="4">
        <v>2.5</v>
      </c>
    </row>
    <row r="10" spans="1:8" x14ac:dyDescent="0.25">
      <c r="A10" t="s">
        <v>41</v>
      </c>
      <c r="B10" t="s">
        <v>42</v>
      </c>
      <c r="C10" t="s">
        <v>36</v>
      </c>
      <c r="D10" t="s">
        <v>37</v>
      </c>
      <c r="E10" s="4">
        <v>2001</v>
      </c>
      <c r="F10" s="4">
        <v>42</v>
      </c>
      <c r="G10" s="4">
        <v>43</v>
      </c>
      <c r="H10" s="4">
        <v>1</v>
      </c>
    </row>
    <row r="11" spans="1:8" x14ac:dyDescent="0.25">
      <c r="A11" t="s">
        <v>41</v>
      </c>
      <c r="B11" t="s">
        <v>44</v>
      </c>
      <c r="C11" t="s">
        <v>36</v>
      </c>
      <c r="D11" t="s">
        <v>37</v>
      </c>
      <c r="E11" s="4">
        <v>2001</v>
      </c>
      <c r="F11" s="4">
        <v>43</v>
      </c>
      <c r="G11" s="4">
        <v>48</v>
      </c>
      <c r="H11" s="4">
        <v>5</v>
      </c>
    </row>
    <row r="12" spans="1:8" x14ac:dyDescent="0.25">
      <c r="A12" t="s">
        <v>41</v>
      </c>
      <c r="B12" t="s">
        <v>42</v>
      </c>
      <c r="C12" t="s">
        <v>36</v>
      </c>
      <c r="D12" t="s">
        <v>37</v>
      </c>
      <c r="E12" s="4">
        <v>2001</v>
      </c>
      <c r="F12" s="4">
        <v>48</v>
      </c>
      <c r="G12" s="4">
        <v>50.6</v>
      </c>
      <c r="H12" s="4">
        <v>2.6</v>
      </c>
    </row>
    <row r="13" spans="1:8" x14ac:dyDescent="0.25">
      <c r="A13" t="s">
        <v>43</v>
      </c>
      <c r="B13" t="s">
        <v>44</v>
      </c>
      <c r="C13" t="s">
        <v>36</v>
      </c>
      <c r="D13" t="s">
        <v>37</v>
      </c>
      <c r="E13" s="4">
        <v>2004</v>
      </c>
      <c r="F13" s="4">
        <v>16.100000000000001</v>
      </c>
      <c r="G13" s="4">
        <v>19.715</v>
      </c>
      <c r="H13" s="4">
        <v>3.6150000000000002</v>
      </c>
    </row>
    <row r="14" spans="1:8" x14ac:dyDescent="0.25">
      <c r="A14" t="s">
        <v>45</v>
      </c>
      <c r="B14" t="s">
        <v>46</v>
      </c>
      <c r="C14" t="s">
        <v>36</v>
      </c>
      <c r="D14" t="s">
        <v>37</v>
      </c>
      <c r="E14" s="4">
        <v>2005</v>
      </c>
      <c r="F14" s="4">
        <v>19.885000000000002</v>
      </c>
      <c r="G14" s="4">
        <v>25</v>
      </c>
      <c r="H14" s="4">
        <v>5.1150000000000002</v>
      </c>
    </row>
    <row r="15" spans="1:8" x14ac:dyDescent="0.25">
      <c r="A15" t="s">
        <v>47</v>
      </c>
      <c r="B15" t="s">
        <v>46</v>
      </c>
      <c r="C15" t="s">
        <v>36</v>
      </c>
      <c r="D15" t="s">
        <v>37</v>
      </c>
      <c r="E15" s="4">
        <v>2006</v>
      </c>
      <c r="F15" s="4">
        <v>50.6</v>
      </c>
      <c r="G15" s="4">
        <v>58.582999999999998</v>
      </c>
      <c r="H15" s="4">
        <v>7.9829999999999997</v>
      </c>
    </row>
    <row r="16" spans="1:8" x14ac:dyDescent="0.25">
      <c r="A16" t="s">
        <v>54</v>
      </c>
      <c r="B16" t="s">
        <v>35</v>
      </c>
      <c r="C16" t="s">
        <v>36</v>
      </c>
      <c r="D16" t="s">
        <v>37</v>
      </c>
      <c r="E16" s="4">
        <v>2009</v>
      </c>
      <c r="F16" s="4">
        <v>19.885000000000002</v>
      </c>
      <c r="G16" s="4">
        <v>24.504000000000001</v>
      </c>
      <c r="H16" s="4">
        <v>4.6189999999999998</v>
      </c>
    </row>
    <row r="17" spans="1:12" x14ac:dyDescent="0.25">
      <c r="A17" t="s">
        <v>48</v>
      </c>
      <c r="B17" t="s">
        <v>46</v>
      </c>
      <c r="C17" t="s">
        <v>36</v>
      </c>
      <c r="D17" t="s">
        <v>37</v>
      </c>
      <c r="E17" s="4">
        <v>2009</v>
      </c>
      <c r="F17" s="4">
        <v>50.6</v>
      </c>
      <c r="G17" s="4">
        <v>58.582999999999998</v>
      </c>
      <c r="H17" s="4">
        <v>7.9829999999999997</v>
      </c>
    </row>
    <row r="18" spans="1:12" x14ac:dyDescent="0.25">
      <c r="A18" t="s">
        <v>55</v>
      </c>
      <c r="B18" t="s">
        <v>44</v>
      </c>
      <c r="C18" t="s">
        <v>36</v>
      </c>
      <c r="D18" t="s">
        <v>37</v>
      </c>
      <c r="E18" s="4">
        <v>2010</v>
      </c>
      <c r="F18" s="4">
        <v>16.2</v>
      </c>
      <c r="G18" s="4">
        <v>16.3</v>
      </c>
      <c r="H18" s="4">
        <v>0.1</v>
      </c>
    </row>
    <row r="19" spans="1:12" x14ac:dyDescent="0.25">
      <c r="A19" t="s">
        <v>55</v>
      </c>
      <c r="B19" t="s">
        <v>44</v>
      </c>
      <c r="C19" t="s">
        <v>36</v>
      </c>
      <c r="D19" t="s">
        <v>37</v>
      </c>
      <c r="E19" s="4">
        <v>2010</v>
      </c>
      <c r="F19" s="4">
        <v>16.3</v>
      </c>
      <c r="G19" s="4">
        <v>16.399999999999999</v>
      </c>
      <c r="H19" s="4">
        <v>0.1</v>
      </c>
    </row>
    <row r="20" spans="1:12" x14ac:dyDescent="0.25">
      <c r="A20" t="s">
        <v>49</v>
      </c>
      <c r="B20" t="s">
        <v>35</v>
      </c>
      <c r="C20" t="s">
        <v>36</v>
      </c>
      <c r="D20" t="s">
        <v>37</v>
      </c>
      <c r="E20" s="4">
        <v>2010</v>
      </c>
      <c r="F20" s="4">
        <v>50.6</v>
      </c>
      <c r="G20" s="4">
        <v>58.582999999999998</v>
      </c>
      <c r="H20" s="4">
        <v>7.9829999999999997</v>
      </c>
    </row>
    <row r="21" spans="1:12" x14ac:dyDescent="0.25">
      <c r="A21" t="s">
        <v>50</v>
      </c>
      <c r="B21" t="s">
        <v>46</v>
      </c>
      <c r="C21" t="s">
        <v>36</v>
      </c>
      <c r="D21" t="s">
        <v>37</v>
      </c>
      <c r="E21" s="4">
        <v>2012</v>
      </c>
      <c r="F21" s="4">
        <v>30.5</v>
      </c>
      <c r="G21" s="4">
        <v>35.5</v>
      </c>
      <c r="H21" s="4">
        <v>5</v>
      </c>
    </row>
    <row r="22" spans="1:12" x14ac:dyDescent="0.25">
      <c r="A22" t="s">
        <v>50</v>
      </c>
      <c r="B22" t="s">
        <v>35</v>
      </c>
      <c r="C22" t="s">
        <v>36</v>
      </c>
      <c r="D22" t="s">
        <v>37</v>
      </c>
      <c r="E22" s="4">
        <v>2012</v>
      </c>
      <c r="F22" s="4">
        <v>30.5</v>
      </c>
      <c r="G22" s="4">
        <v>50.6</v>
      </c>
      <c r="H22" s="4">
        <v>20.100000000000001</v>
      </c>
    </row>
    <row r="24" spans="1:12" x14ac:dyDescent="0.25">
      <c r="A24" t="s">
        <v>33</v>
      </c>
      <c r="B24" t="s">
        <v>26</v>
      </c>
      <c r="C24" t="s">
        <v>27</v>
      </c>
      <c r="D24" t="s">
        <v>28</v>
      </c>
      <c r="E24" t="s">
        <v>29</v>
      </c>
      <c r="F24" t="s">
        <v>30</v>
      </c>
      <c r="G24" t="s">
        <v>31</v>
      </c>
      <c r="H24" t="s">
        <v>32</v>
      </c>
      <c r="I24">
        <v>1992</v>
      </c>
      <c r="J24">
        <v>10</v>
      </c>
      <c r="K24" t="e">
        <f>VLOOKUP(J24, A24:H45, 3, FALSE)</f>
        <v>#N/A</v>
      </c>
      <c r="L24" t="e">
        <f>VLOOKUP(J24, A24:H45, 2, FALSE)</f>
        <v>#N/A</v>
      </c>
    </row>
    <row r="25" spans="1:12" x14ac:dyDescent="0.25">
      <c r="A25" s="4">
        <v>1.07</v>
      </c>
      <c r="B25" t="s">
        <v>51</v>
      </c>
      <c r="C25" t="s">
        <v>35</v>
      </c>
      <c r="D25" t="s">
        <v>36</v>
      </c>
      <c r="E25" t="s">
        <v>37</v>
      </c>
      <c r="F25" s="4">
        <v>1992</v>
      </c>
      <c r="G25" s="4">
        <v>10</v>
      </c>
      <c r="H25" s="4">
        <v>11.07</v>
      </c>
      <c r="I25">
        <v>1992</v>
      </c>
      <c r="J25">
        <v>1.07</v>
      </c>
      <c r="K25" t="str">
        <f t="shared" ref="K25:K31" si="0">VLOOKUP(J25, A25:H46, 3, FALSE)</f>
        <v>HMA Thin Overlay</v>
      </c>
      <c r="L25" t="str">
        <f t="shared" ref="L25:L31" si="1">VLOOKUP(J25, A25:H46, 2, FALSE)</f>
        <v>04-19246</v>
      </c>
    </row>
    <row r="26" spans="1:12" x14ac:dyDescent="0.25">
      <c r="A26" s="4">
        <v>7.9829999999999997</v>
      </c>
      <c r="B26" t="s">
        <v>34</v>
      </c>
      <c r="C26" t="s">
        <v>35</v>
      </c>
      <c r="D26" t="s">
        <v>36</v>
      </c>
      <c r="E26" t="s">
        <v>37</v>
      </c>
      <c r="F26" s="4">
        <v>1992</v>
      </c>
      <c r="G26" s="4">
        <v>50.6</v>
      </c>
      <c r="H26" s="4">
        <v>58.582999999999998</v>
      </c>
      <c r="I26">
        <v>1992</v>
      </c>
      <c r="J26">
        <v>39.53</v>
      </c>
      <c r="K26" t="e">
        <f t="shared" si="0"/>
        <v>#N/A</v>
      </c>
      <c r="L26" t="e">
        <f t="shared" si="1"/>
        <v>#N/A</v>
      </c>
    </row>
    <row r="27" spans="1:12" x14ac:dyDescent="0.25">
      <c r="A27" s="4">
        <v>1.776</v>
      </c>
      <c r="B27" t="s">
        <v>38</v>
      </c>
      <c r="C27" t="s">
        <v>35</v>
      </c>
      <c r="D27" t="s">
        <v>36</v>
      </c>
      <c r="E27" t="s">
        <v>37</v>
      </c>
      <c r="F27" s="4">
        <v>1993</v>
      </c>
      <c r="G27" s="4">
        <v>24.524000000000001</v>
      </c>
      <c r="H27" s="4">
        <v>26.3</v>
      </c>
      <c r="I27">
        <v>1992</v>
      </c>
      <c r="J27">
        <v>7.9829999999999997</v>
      </c>
      <c r="K27" t="str">
        <f t="shared" si="0"/>
        <v>Chip Seal</v>
      </c>
      <c r="L27" t="str">
        <f t="shared" si="1"/>
        <v>04-1R110</v>
      </c>
    </row>
    <row r="28" spans="1:12" x14ac:dyDescent="0.25">
      <c r="A28" s="4">
        <v>7.9829999999999997</v>
      </c>
      <c r="B28" t="s">
        <v>39</v>
      </c>
      <c r="C28" t="s">
        <v>40</v>
      </c>
      <c r="D28" t="s">
        <v>36</v>
      </c>
      <c r="E28" t="s">
        <v>37</v>
      </c>
      <c r="F28" s="4">
        <v>2000</v>
      </c>
      <c r="G28" s="4">
        <v>50.6</v>
      </c>
      <c r="H28" s="4">
        <v>58.582999999999998</v>
      </c>
      <c r="I28">
        <v>1993</v>
      </c>
      <c r="J28">
        <v>24.524000000000001</v>
      </c>
      <c r="K28" t="e">
        <f t="shared" si="0"/>
        <v>#N/A</v>
      </c>
      <c r="L28" t="e">
        <f t="shared" si="1"/>
        <v>#N/A</v>
      </c>
    </row>
    <row r="29" spans="1:12" x14ac:dyDescent="0.25">
      <c r="A29" s="4">
        <v>8.1999999999999993</v>
      </c>
      <c r="B29" t="s">
        <v>52</v>
      </c>
      <c r="C29" t="s">
        <v>44</v>
      </c>
      <c r="D29" t="s">
        <v>36</v>
      </c>
      <c r="E29" t="s">
        <v>37</v>
      </c>
      <c r="F29" s="4">
        <v>2001</v>
      </c>
      <c r="G29" s="4">
        <v>0</v>
      </c>
      <c r="H29" s="4">
        <v>8.1999999999999993</v>
      </c>
      <c r="I29">
        <v>1993</v>
      </c>
      <c r="J29">
        <v>1.776</v>
      </c>
      <c r="K29" t="e">
        <f t="shared" si="0"/>
        <v>#N/A</v>
      </c>
      <c r="L29" t="e">
        <f t="shared" si="1"/>
        <v>#N/A</v>
      </c>
    </row>
    <row r="30" spans="1:12" x14ac:dyDescent="0.25">
      <c r="A30" s="4">
        <v>4.2859999999999996</v>
      </c>
      <c r="B30" t="s">
        <v>53</v>
      </c>
      <c r="C30" t="s">
        <v>35</v>
      </c>
      <c r="D30" t="s">
        <v>36</v>
      </c>
      <c r="E30" t="s">
        <v>37</v>
      </c>
      <c r="F30" s="4">
        <v>2001</v>
      </c>
      <c r="G30" s="4">
        <v>8.1999999999999993</v>
      </c>
      <c r="H30" s="4">
        <v>12.486000000000001</v>
      </c>
      <c r="I30">
        <v>2000</v>
      </c>
      <c r="J30">
        <v>50.6</v>
      </c>
      <c r="K30" t="e">
        <f t="shared" si="0"/>
        <v>#N/A</v>
      </c>
      <c r="L30" t="e">
        <f t="shared" si="1"/>
        <v>#N/A</v>
      </c>
    </row>
    <row r="31" spans="1:12" x14ac:dyDescent="0.25">
      <c r="A31" s="4">
        <v>4</v>
      </c>
      <c r="B31" t="s">
        <v>41</v>
      </c>
      <c r="C31" t="s">
        <v>42</v>
      </c>
      <c r="D31" t="s">
        <v>36</v>
      </c>
      <c r="E31" t="s">
        <v>37</v>
      </c>
      <c r="F31" s="4">
        <v>2001</v>
      </c>
      <c r="G31" s="4">
        <v>35.5</v>
      </c>
      <c r="H31" s="4">
        <v>39.5</v>
      </c>
      <c r="I31">
        <v>2000</v>
      </c>
      <c r="J31">
        <v>7.9829999999999997</v>
      </c>
      <c r="K31" t="str">
        <f t="shared" si="0"/>
        <v>Digouts</v>
      </c>
      <c r="L31" t="str">
        <f t="shared" si="1"/>
        <v>04-0E300</v>
      </c>
    </row>
    <row r="32" spans="1:12" x14ac:dyDescent="0.25">
      <c r="A32" s="4">
        <v>2.5</v>
      </c>
      <c r="B32" t="s">
        <v>41</v>
      </c>
      <c r="C32" t="s">
        <v>42</v>
      </c>
      <c r="D32" t="s">
        <v>36</v>
      </c>
      <c r="E32" t="s">
        <v>37</v>
      </c>
      <c r="F32" s="4">
        <v>2001</v>
      </c>
      <c r="G32" s="4">
        <v>39.5</v>
      </c>
      <c r="H32" s="4">
        <v>42</v>
      </c>
    </row>
    <row r="33" spans="1:8" x14ac:dyDescent="0.25">
      <c r="A33" s="4">
        <v>1</v>
      </c>
      <c r="B33" t="s">
        <v>41</v>
      </c>
      <c r="C33" t="s">
        <v>42</v>
      </c>
      <c r="D33" t="s">
        <v>36</v>
      </c>
      <c r="E33" t="s">
        <v>37</v>
      </c>
      <c r="F33" s="4">
        <v>2001</v>
      </c>
      <c r="G33" s="4">
        <v>42</v>
      </c>
      <c r="H33" s="4">
        <v>43</v>
      </c>
    </row>
    <row r="34" spans="1:8" x14ac:dyDescent="0.25">
      <c r="A34" s="4">
        <v>5</v>
      </c>
      <c r="B34" t="s">
        <v>41</v>
      </c>
      <c r="C34" t="s">
        <v>44</v>
      </c>
      <c r="D34" t="s">
        <v>36</v>
      </c>
      <c r="E34" t="s">
        <v>37</v>
      </c>
      <c r="F34" s="4">
        <v>2001</v>
      </c>
      <c r="G34" s="4">
        <v>43</v>
      </c>
      <c r="H34" s="4">
        <v>48</v>
      </c>
    </row>
    <row r="35" spans="1:8" x14ac:dyDescent="0.25">
      <c r="A35" s="4">
        <v>2.6</v>
      </c>
      <c r="B35" t="s">
        <v>41</v>
      </c>
      <c r="C35" t="s">
        <v>42</v>
      </c>
      <c r="D35" t="s">
        <v>36</v>
      </c>
      <c r="E35" t="s">
        <v>37</v>
      </c>
      <c r="F35" s="4">
        <v>2001</v>
      </c>
      <c r="G35" s="4">
        <v>48</v>
      </c>
      <c r="H35" s="4">
        <v>50.6</v>
      </c>
    </row>
    <row r="36" spans="1:8" x14ac:dyDescent="0.25">
      <c r="A36" s="4">
        <v>3.6150000000000002</v>
      </c>
      <c r="B36" t="s">
        <v>43</v>
      </c>
      <c r="C36" t="s">
        <v>44</v>
      </c>
      <c r="D36" t="s">
        <v>36</v>
      </c>
      <c r="E36" t="s">
        <v>37</v>
      </c>
      <c r="F36" s="4">
        <v>2004</v>
      </c>
      <c r="G36" s="4">
        <v>16.100000000000001</v>
      </c>
      <c r="H36" s="4">
        <v>19.715</v>
      </c>
    </row>
    <row r="37" spans="1:8" x14ac:dyDescent="0.25">
      <c r="A37" s="4">
        <v>5.1150000000000002</v>
      </c>
      <c r="B37" t="s">
        <v>45</v>
      </c>
      <c r="C37" t="s">
        <v>46</v>
      </c>
      <c r="D37" t="s">
        <v>36</v>
      </c>
      <c r="E37" t="s">
        <v>37</v>
      </c>
      <c r="F37" s="4">
        <v>2005</v>
      </c>
      <c r="G37" s="4">
        <v>19.885000000000002</v>
      </c>
      <c r="H37" s="4">
        <v>25</v>
      </c>
    </row>
    <row r="38" spans="1:8" x14ac:dyDescent="0.25">
      <c r="A38" s="4">
        <v>7.9829999999999997</v>
      </c>
      <c r="B38" t="s">
        <v>47</v>
      </c>
      <c r="C38" t="s">
        <v>46</v>
      </c>
      <c r="D38" t="s">
        <v>36</v>
      </c>
      <c r="E38" t="s">
        <v>37</v>
      </c>
      <c r="F38" s="4">
        <v>2006</v>
      </c>
      <c r="G38" s="4">
        <v>50.6</v>
      </c>
      <c r="H38" s="4">
        <v>58.582999999999998</v>
      </c>
    </row>
    <row r="39" spans="1:8" x14ac:dyDescent="0.25">
      <c r="A39" s="4">
        <v>4.6189999999999998</v>
      </c>
      <c r="B39" t="s">
        <v>54</v>
      </c>
      <c r="C39" t="s">
        <v>35</v>
      </c>
      <c r="D39" t="s">
        <v>36</v>
      </c>
      <c r="E39" t="s">
        <v>37</v>
      </c>
      <c r="F39" s="4">
        <v>2009</v>
      </c>
      <c r="G39" s="4">
        <v>19.885000000000002</v>
      </c>
      <c r="H39" s="4">
        <v>24.504000000000001</v>
      </c>
    </row>
    <row r="40" spans="1:8" x14ac:dyDescent="0.25">
      <c r="A40" s="4">
        <v>7.9829999999999997</v>
      </c>
      <c r="B40" t="s">
        <v>48</v>
      </c>
      <c r="C40" t="s">
        <v>46</v>
      </c>
      <c r="D40" t="s">
        <v>36</v>
      </c>
      <c r="E40" t="s">
        <v>37</v>
      </c>
      <c r="F40" s="4">
        <v>2009</v>
      </c>
      <c r="G40" s="4">
        <v>50.6</v>
      </c>
      <c r="H40" s="4">
        <v>58.582999999999998</v>
      </c>
    </row>
    <row r="41" spans="1:8" x14ac:dyDescent="0.25">
      <c r="A41" s="4">
        <v>0.1</v>
      </c>
      <c r="B41" t="s">
        <v>55</v>
      </c>
      <c r="C41" t="s">
        <v>44</v>
      </c>
      <c r="D41" t="s">
        <v>36</v>
      </c>
      <c r="E41" t="s">
        <v>37</v>
      </c>
      <c r="F41" s="4">
        <v>2010</v>
      </c>
      <c r="G41" s="4">
        <v>16.2</v>
      </c>
      <c r="H41" s="4">
        <v>16.3</v>
      </c>
    </row>
    <row r="42" spans="1:8" x14ac:dyDescent="0.25">
      <c r="A42" s="4">
        <v>0.1</v>
      </c>
      <c r="B42" t="s">
        <v>55</v>
      </c>
      <c r="C42" t="s">
        <v>44</v>
      </c>
      <c r="D42" t="s">
        <v>36</v>
      </c>
      <c r="E42" t="s">
        <v>37</v>
      </c>
      <c r="F42" s="4">
        <v>2010</v>
      </c>
      <c r="G42" s="4">
        <v>16.3</v>
      </c>
      <c r="H42" s="4">
        <v>16.399999999999999</v>
      </c>
    </row>
    <row r="43" spans="1:8" x14ac:dyDescent="0.25">
      <c r="A43" s="4">
        <v>7.9829999999999997</v>
      </c>
      <c r="B43" t="s">
        <v>49</v>
      </c>
      <c r="C43" t="s">
        <v>35</v>
      </c>
      <c r="D43" t="s">
        <v>36</v>
      </c>
      <c r="E43" t="s">
        <v>37</v>
      </c>
      <c r="F43" s="4">
        <v>2010</v>
      </c>
      <c r="G43" s="4">
        <v>50.6</v>
      </c>
      <c r="H43" s="4">
        <v>58.582999999999998</v>
      </c>
    </row>
    <row r="44" spans="1:8" x14ac:dyDescent="0.25">
      <c r="A44" s="4">
        <v>5</v>
      </c>
      <c r="B44" t="s">
        <v>50</v>
      </c>
      <c r="C44" t="s">
        <v>46</v>
      </c>
      <c r="D44" t="s">
        <v>36</v>
      </c>
      <c r="E44" t="s">
        <v>37</v>
      </c>
      <c r="F44" s="4">
        <v>2012</v>
      </c>
      <c r="G44" s="4">
        <v>30.5</v>
      </c>
      <c r="H44" s="4">
        <v>35.5</v>
      </c>
    </row>
    <row r="45" spans="1:8" x14ac:dyDescent="0.25">
      <c r="A45" s="4">
        <v>20.100000000000001</v>
      </c>
      <c r="B45" t="s">
        <v>50</v>
      </c>
      <c r="C45" t="s">
        <v>35</v>
      </c>
      <c r="D45" t="s">
        <v>36</v>
      </c>
      <c r="E45" t="s">
        <v>37</v>
      </c>
      <c r="F45" s="4">
        <v>2012</v>
      </c>
      <c r="G45" s="4">
        <v>30.5</v>
      </c>
      <c r="H45" s="4">
        <v>50.6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Sheet2</vt:lpstr>
      <vt:lpstr>data</vt:lpstr>
      <vt:lpstr>formula</vt:lpstr>
      <vt:lpstr>formulas</vt:lpstr>
      <vt:lpstr>p chart</vt:lpstr>
      <vt:lpstr>tabletocolumn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2014-08-28T05:09:51Z</dcterms:modified>
</cp:coreProperties>
</file>