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tabRatio="839" activeTab="7"/>
  </bookViews>
  <sheets>
    <sheet name="data" sheetId="1" r:id="rId1"/>
    <sheet name="sheet1" sheetId="21" r:id="rId2"/>
    <sheet name="index&amp;match" sheetId="9" r:id="rId3"/>
    <sheet name="AcuraIndexMatch-Vlookup" sheetId="20" r:id="rId4"/>
    <sheet name="vlookupmultipleresults" sheetId="19" r:id="rId5"/>
    <sheet name="tabletocolumn" sheetId="16" r:id="rId6"/>
    <sheet name="twocriterialookup" sheetId="18" r:id="rId7"/>
    <sheet name="fromA" sheetId="24" r:id="rId8"/>
    <sheet name="combineheadercontent" sheetId="15" r:id="rId9"/>
    <sheet name="rangetocolumn" sheetId="27" r:id="rId10"/>
  </sheets>
  <calcPr calcId="145621"/>
</workbook>
</file>

<file path=xl/calcChain.xml><?xml version="1.0" encoding="utf-8"?>
<calcChain xmlns="http://schemas.openxmlformats.org/spreadsheetml/2006/main">
  <c r="B3" i="15" l="1"/>
  <c r="C3" i="15"/>
  <c r="D3" i="15"/>
  <c r="E3" i="15"/>
  <c r="F3" i="15"/>
  <c r="G3" i="15"/>
  <c r="H3" i="15"/>
  <c r="I3" i="15"/>
  <c r="J3" i="15"/>
  <c r="K3" i="15"/>
  <c r="L3" i="15"/>
  <c r="M3" i="15"/>
  <c r="N3" i="15"/>
  <c r="O3" i="15"/>
  <c r="B4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B5" i="15"/>
  <c r="C5" i="15"/>
  <c r="D5" i="15"/>
  <c r="E5" i="15"/>
  <c r="F5" i="15"/>
  <c r="G5" i="15"/>
  <c r="H5" i="15"/>
  <c r="I5" i="15"/>
  <c r="J5" i="15"/>
  <c r="K5" i="15"/>
  <c r="L5" i="15"/>
  <c r="M5" i="15"/>
  <c r="N5" i="15"/>
  <c r="O5" i="15"/>
  <c r="B6" i="15"/>
  <c r="C6" i="15"/>
  <c r="D6" i="15"/>
  <c r="E6" i="15"/>
  <c r="F6" i="15"/>
  <c r="G6" i="15"/>
  <c r="H6" i="15"/>
  <c r="I6" i="15"/>
  <c r="J6" i="15"/>
  <c r="K6" i="15"/>
  <c r="L6" i="15"/>
  <c r="M6" i="15"/>
  <c r="N6" i="15"/>
  <c r="O6" i="15"/>
  <c r="B7" i="15"/>
  <c r="C7" i="15"/>
  <c r="D7" i="15"/>
  <c r="E7" i="15"/>
  <c r="F7" i="15"/>
  <c r="G7" i="15"/>
  <c r="H7" i="15"/>
  <c r="I7" i="15"/>
  <c r="J7" i="15"/>
  <c r="K7" i="15"/>
  <c r="L7" i="15"/>
  <c r="M7" i="15"/>
  <c r="N7" i="15"/>
  <c r="O7" i="15"/>
  <c r="B8" i="15"/>
  <c r="C8" i="15"/>
  <c r="D8" i="15"/>
  <c r="E8" i="15"/>
  <c r="F8" i="15"/>
  <c r="G8" i="15"/>
  <c r="H8" i="15"/>
  <c r="I8" i="15"/>
  <c r="J8" i="15"/>
  <c r="K8" i="15"/>
  <c r="L8" i="15"/>
  <c r="M8" i="15"/>
  <c r="N8" i="15"/>
  <c r="O8" i="15"/>
  <c r="B9" i="15"/>
  <c r="C9" i="15"/>
  <c r="D9" i="15"/>
  <c r="E9" i="15"/>
  <c r="F9" i="15"/>
  <c r="G9" i="15"/>
  <c r="H9" i="15"/>
  <c r="I9" i="15"/>
  <c r="J9" i="15"/>
  <c r="K9" i="15"/>
  <c r="L9" i="15"/>
  <c r="M9" i="15"/>
  <c r="N9" i="15"/>
  <c r="O9" i="15"/>
  <c r="B10" i="15"/>
  <c r="C10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B11" i="15"/>
  <c r="C11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C2" i="15"/>
  <c r="D2" i="15"/>
  <c r="E2" i="15"/>
  <c r="F2" i="15"/>
  <c r="G2" i="15"/>
  <c r="H2" i="15"/>
  <c r="I2" i="15"/>
  <c r="J2" i="15"/>
  <c r="K2" i="15"/>
  <c r="L2" i="15"/>
  <c r="M2" i="15"/>
  <c r="N2" i="15"/>
  <c r="O2" i="15"/>
  <c r="B2" i="15"/>
  <c r="P3" i="15" l="1"/>
  <c r="Q3" i="15"/>
  <c r="R3" i="15"/>
  <c r="S3" i="15"/>
  <c r="T3" i="15"/>
  <c r="U3" i="15"/>
  <c r="V3" i="15"/>
  <c r="W3" i="15"/>
  <c r="X3" i="15"/>
  <c r="Y3" i="15"/>
  <c r="P4" i="15"/>
  <c r="Q4" i="15"/>
  <c r="R4" i="15"/>
  <c r="S4" i="15"/>
  <c r="T4" i="15"/>
  <c r="U4" i="15"/>
  <c r="V4" i="15"/>
  <c r="W4" i="15"/>
  <c r="X4" i="15"/>
  <c r="Y4" i="15"/>
  <c r="P5" i="15"/>
  <c r="Q5" i="15"/>
  <c r="R5" i="15"/>
  <c r="S5" i="15"/>
  <c r="T5" i="15"/>
  <c r="U5" i="15"/>
  <c r="V5" i="15"/>
  <c r="W5" i="15"/>
  <c r="X5" i="15"/>
  <c r="Y5" i="15"/>
  <c r="P6" i="15"/>
  <c r="Q6" i="15"/>
  <c r="R6" i="15"/>
  <c r="S6" i="15"/>
  <c r="T6" i="15"/>
  <c r="U6" i="15"/>
  <c r="V6" i="15"/>
  <c r="W6" i="15"/>
  <c r="X6" i="15"/>
  <c r="Y6" i="15"/>
  <c r="P7" i="15"/>
  <c r="Q7" i="15"/>
  <c r="R7" i="15"/>
  <c r="S7" i="15"/>
  <c r="T7" i="15"/>
  <c r="U7" i="15"/>
  <c r="V7" i="15"/>
  <c r="W7" i="15"/>
  <c r="X7" i="15"/>
  <c r="Y7" i="15"/>
  <c r="P8" i="15"/>
  <c r="Q8" i="15"/>
  <c r="R8" i="15"/>
  <c r="S8" i="15"/>
  <c r="T8" i="15"/>
  <c r="U8" i="15"/>
  <c r="V8" i="15"/>
  <c r="W8" i="15"/>
  <c r="X8" i="15"/>
  <c r="Y8" i="15"/>
  <c r="P9" i="15"/>
  <c r="Q9" i="15"/>
  <c r="R9" i="15"/>
  <c r="S9" i="15"/>
  <c r="T9" i="15"/>
  <c r="U9" i="15"/>
  <c r="V9" i="15"/>
  <c r="W9" i="15"/>
  <c r="X9" i="15"/>
  <c r="Y9" i="15"/>
  <c r="P10" i="15"/>
  <c r="Q10" i="15"/>
  <c r="R10" i="15"/>
  <c r="S10" i="15"/>
  <c r="T10" i="15"/>
  <c r="U10" i="15"/>
  <c r="V10" i="15"/>
  <c r="W10" i="15"/>
  <c r="X10" i="15"/>
  <c r="Y10" i="15"/>
  <c r="P11" i="15"/>
  <c r="Q11" i="15"/>
  <c r="R11" i="15"/>
  <c r="S11" i="15"/>
  <c r="T11" i="15"/>
  <c r="U11" i="15"/>
  <c r="V11" i="15"/>
  <c r="W11" i="15"/>
  <c r="X11" i="15"/>
  <c r="Y11" i="15"/>
  <c r="P2" i="15"/>
  <c r="Q2" i="15"/>
  <c r="R2" i="15"/>
  <c r="S2" i="15"/>
  <c r="T2" i="15"/>
  <c r="U2" i="15"/>
  <c r="V2" i="15"/>
  <c r="W2" i="15"/>
  <c r="X2" i="15"/>
  <c r="Y2" i="15"/>
  <c r="N31" i="1"/>
  <c r="N32" i="1"/>
  <c r="N33" i="1"/>
  <c r="N34" i="1"/>
  <c r="N35" i="1"/>
  <c r="N36" i="1"/>
  <c r="N37" i="1"/>
  <c r="N30" i="1"/>
  <c r="C13" i="20" a="1"/>
  <c r="C13" i="20" s="1"/>
  <c r="F15" i="9" a="1"/>
  <c r="F15" i="9" s="1"/>
  <c r="L24" i="18" a="1"/>
  <c r="L24" i="18" s="1"/>
  <c r="L25" i="18" a="1"/>
  <c r="L25" i="18" s="1"/>
  <c r="L26" i="18" a="1"/>
  <c r="L26" i="18" s="1"/>
  <c r="L27" i="18" a="1"/>
  <c r="L27" i="18" s="1"/>
  <c r="L28" i="18" a="1"/>
  <c r="L28" i="18" s="1"/>
  <c r="L29" i="18" a="1"/>
  <c r="L29" i="18" s="1"/>
  <c r="L30" i="18" a="1"/>
  <c r="L30" i="18" s="1"/>
  <c r="L31" i="18" a="1"/>
  <c r="L31" i="18" s="1"/>
  <c r="B11" i="19" l="1" a="1"/>
  <c r="B11" i="19" s="1"/>
  <c r="B12" i="19" a="1"/>
  <c r="B12" i="19" s="1"/>
  <c r="B16" i="19" a="1"/>
  <c r="B16" i="19" s="1"/>
  <c r="B17" i="19" a="1"/>
  <c r="B17" i="19" s="1"/>
  <c r="B18" i="19" a="1"/>
  <c r="B18" i="19" s="1"/>
  <c r="B13" i="19" a="1"/>
  <c r="B13" i="19"/>
  <c r="B14" i="19" a="1"/>
  <c r="B14" i="19" s="1"/>
  <c r="B15" i="19" a="1"/>
  <c r="B15" i="19"/>
  <c r="C2" i="19"/>
  <c r="C3" i="19"/>
  <c r="C4" i="19"/>
  <c r="C5" i="19"/>
  <c r="C6" i="19"/>
  <c r="C7" i="19"/>
  <c r="C8" i="19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H1" i="16" l="1"/>
  <c r="B2" i="20"/>
  <c r="M33" i="1" l="1"/>
  <c r="M32" i="1"/>
  <c r="H2" i="16" l="1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E3" i="9" l="1"/>
  <c r="F3" i="9"/>
  <c r="G3" i="9"/>
  <c r="H3" i="9"/>
  <c r="E4" i="9"/>
  <c r="F4" i="9"/>
  <c r="G4" i="9"/>
  <c r="H4" i="9"/>
  <c r="E5" i="9"/>
  <c r="F5" i="9"/>
  <c r="G5" i="9"/>
  <c r="H5" i="9"/>
  <c r="E6" i="9"/>
  <c r="F6" i="9"/>
  <c r="G6" i="9"/>
  <c r="H6" i="9"/>
  <c r="E7" i="9"/>
  <c r="F7" i="9"/>
  <c r="G7" i="9"/>
  <c r="H7" i="9"/>
  <c r="E8" i="9"/>
  <c r="F8" i="9"/>
  <c r="G8" i="9"/>
  <c r="H8" i="9"/>
  <c r="E9" i="9"/>
  <c r="F9" i="9"/>
  <c r="G9" i="9"/>
  <c r="H9" i="9"/>
  <c r="E2" i="9"/>
  <c r="F2" i="9"/>
  <c r="G2" i="9"/>
  <c r="H2" i="9"/>
  <c r="I2" i="9" l="1"/>
  <c r="I3" i="9" l="1"/>
  <c r="I4" i="9"/>
  <c r="I5" i="9"/>
  <c r="I6" i="9"/>
  <c r="I7" i="9"/>
  <c r="I8" i="9"/>
  <c r="I9" i="9"/>
</calcChain>
</file>

<file path=xl/sharedStrings.xml><?xml version="1.0" encoding="utf-8"?>
<sst xmlns="http://schemas.openxmlformats.org/spreadsheetml/2006/main" count="730" uniqueCount="173">
  <si>
    <t>Year</t>
  </si>
  <si>
    <t>Length</t>
  </si>
  <si>
    <t>Info</t>
  </si>
  <si>
    <t>L1</t>
  </si>
  <si>
    <t xml:space="preserve"> L2</t>
  </si>
  <si>
    <t xml:space="preserve"> L3</t>
  </si>
  <si>
    <t xml:space="preserve"> L4</t>
  </si>
  <si>
    <t>LenNumber</t>
  </si>
  <si>
    <t xml:space="preserve"> L5</t>
  </si>
  <si>
    <t xml:space="preserve"> L6</t>
  </si>
  <si>
    <t xml:space="preserve"> L7</t>
  </si>
  <si>
    <t xml:space="preserve"> L8</t>
  </si>
  <si>
    <t xml:space="preserve"> L9</t>
  </si>
  <si>
    <t xml:space="preserve"> L10</t>
  </si>
  <si>
    <t xml:space="preserve"> L11</t>
  </si>
  <si>
    <t xml:space="preserve"> L12</t>
  </si>
  <si>
    <t xml:space="preserve"> L13</t>
  </si>
  <si>
    <t xml:space="preserve"> L14</t>
  </si>
  <si>
    <t>EA</t>
  </si>
  <si>
    <t>TREATMENT</t>
  </si>
  <si>
    <t>COUNTY</t>
  </si>
  <si>
    <t>ROUTE</t>
  </si>
  <si>
    <t>YEAR</t>
  </si>
  <si>
    <t>BEG_PM</t>
  </si>
  <si>
    <t>END_PM</t>
  </si>
  <si>
    <t>LENGTH</t>
  </si>
  <si>
    <t>04-18973</t>
  </si>
  <si>
    <t>HMA Thin Overlay</t>
  </si>
  <si>
    <t>SON</t>
  </si>
  <si>
    <t>001</t>
  </si>
  <si>
    <t>04-19289</t>
  </si>
  <si>
    <t>04-1R110</t>
  </si>
  <si>
    <t>Chip Seal</t>
  </si>
  <si>
    <t>04-0C490</t>
  </si>
  <si>
    <t>HMA Thick Overlay</t>
  </si>
  <si>
    <t>04-0C350</t>
  </si>
  <si>
    <t>HMA Medium Overlay</t>
  </si>
  <si>
    <t>04-2R220</t>
  </si>
  <si>
    <t>Digouts</t>
  </si>
  <si>
    <t>04-0E300</t>
  </si>
  <si>
    <t>04-1E220</t>
  </si>
  <si>
    <t>04-1E730</t>
  </si>
  <si>
    <t>04-2E530</t>
  </si>
  <si>
    <t>04-19246</t>
  </si>
  <si>
    <t>04-0C340</t>
  </si>
  <si>
    <t>04-1R610</t>
  </si>
  <si>
    <t>04-0E350</t>
  </si>
  <si>
    <t>04-2A630</t>
  </si>
  <si>
    <t>Product 1</t>
  </si>
  <si>
    <t>Product 2</t>
  </si>
  <si>
    <t>Product 3</t>
  </si>
  <si>
    <t>Product 4</t>
  </si>
  <si>
    <t>Product 5</t>
  </si>
  <si>
    <t>Product 6</t>
  </si>
  <si>
    <t>Top Product</t>
  </si>
  <si>
    <t>L2</t>
  </si>
  <si>
    <t>L3</t>
  </si>
  <si>
    <t>L4</t>
  </si>
  <si>
    <t>L5</t>
  </si>
  <si>
    <t>L6</t>
  </si>
  <si>
    <t>treatment 1</t>
  </si>
  <si>
    <t>treatment 2</t>
  </si>
  <si>
    <t>treatment 3</t>
  </si>
  <si>
    <t>treatment 4</t>
  </si>
  <si>
    <t>EA000001</t>
  </si>
  <si>
    <t>EA000002</t>
  </si>
  <si>
    <t>EA000003</t>
  </si>
  <si>
    <t>EA000004</t>
  </si>
  <si>
    <t>EA000005</t>
  </si>
  <si>
    <t>EA000006</t>
  </si>
  <si>
    <t>EA000007</t>
  </si>
  <si>
    <t>EA000008</t>
  </si>
  <si>
    <t>EA000009</t>
  </si>
  <si>
    <t>EA000010</t>
  </si>
  <si>
    <t>EA000011</t>
  </si>
  <si>
    <t>EA000012</t>
  </si>
  <si>
    <t>EA000013</t>
  </si>
  <si>
    <t>EA000014</t>
  </si>
  <si>
    <t>EA000015</t>
  </si>
  <si>
    <t>EA000016</t>
  </si>
  <si>
    <t>EA000017</t>
  </si>
  <si>
    <t>EA000018</t>
  </si>
  <si>
    <t>EA000019</t>
  </si>
  <si>
    <t>EA000020</t>
  </si>
  <si>
    <t>EA000021</t>
  </si>
  <si>
    <t>EA000022</t>
  </si>
  <si>
    <t>EA000023</t>
  </si>
  <si>
    <t>EA000024</t>
  </si>
  <si>
    <t xml:space="preserve">Match </t>
  </si>
  <si>
    <t>Oranges</t>
  </si>
  <si>
    <t>Apples</t>
  </si>
  <si>
    <t>Pears</t>
  </si>
  <si>
    <t>Grapes</t>
  </si>
  <si>
    <t>Model</t>
  </si>
  <si>
    <t>ILX</t>
  </si>
  <si>
    <t>Combined Economy</t>
  </si>
  <si>
    <t>Make</t>
  </si>
  <si>
    <t>Acura</t>
  </si>
  <si>
    <t>MDX 2WD</t>
  </si>
  <si>
    <t>Disp</t>
  </si>
  <si>
    <t>#Cyl</t>
  </si>
  <si>
    <t>City</t>
  </si>
  <si>
    <t>Hwy</t>
  </si>
  <si>
    <t>Comb</t>
  </si>
  <si>
    <t>Name</t>
  </si>
  <si>
    <t>Age</t>
  </si>
  <si>
    <t>Mon</t>
  </si>
  <si>
    <t>Tue</t>
  </si>
  <si>
    <t>Wed</t>
  </si>
  <si>
    <t>Thu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</si>
  <si>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</si>
  <si>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</si>
  <si>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</si>
  <si>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</si>
  <si>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</si>
  <si>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</si>
  <si>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</si>
  <si>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</si>
  <si>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</si>
  <si>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</si>
  <si>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</si>
  <si>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</si>
  <si>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</si>
  <si>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</si>
  <si>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</si>
  <si>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</si>
  <si>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</si>
  <si>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</si>
  <si>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ctrl+enter</t>
  </si>
  <si>
    <t xml:space="preserve">Using match and index for vlookup, and using multiple criteria. </t>
  </si>
  <si>
    <t>1992, L1, 10</t>
  </si>
  <si>
    <t>1992, L2, 1.07</t>
  </si>
  <si>
    <t>1992, L3, 39.53</t>
  </si>
  <si>
    <t>1992, L4, 7.983</t>
  </si>
  <si>
    <t>ph</t>
  </si>
  <si>
    <t>1993, L1, 24.524</t>
  </si>
  <si>
    <t>1993, L2, 1.776</t>
  </si>
  <si>
    <t>2000, L1, 50.6</t>
  </si>
  <si>
    <t>2000, L2, 7.983</t>
  </si>
  <si>
    <t>2001, L1, 0</t>
  </si>
  <si>
    <t>2001, L2, 8.2</t>
  </si>
  <si>
    <t>2001, L3, 0</t>
  </si>
  <si>
    <t>2001, L4, 4.286</t>
  </si>
  <si>
    <t>2001, L5, 23.014</t>
  </si>
  <si>
    <t>2001, L6, 4</t>
  </si>
  <si>
    <t>2001, L7, 0</t>
  </si>
  <si>
    <t>2001, L8, 2.5</t>
  </si>
  <si>
    <t>2001, L9, 0</t>
  </si>
  <si>
    <t>2001, L10, 1</t>
  </si>
  <si>
    <t>2001, L11, 0</t>
  </si>
  <si>
    <t>2001, L12, 5</t>
  </si>
  <si>
    <t>2001, L13, 0</t>
  </si>
  <si>
    <t>2001, L14, 2.6</t>
  </si>
  <si>
    <t>2004, L1, 16.1</t>
  </si>
  <si>
    <t>2004, L2, 3.615</t>
  </si>
  <si>
    <t>2005, L1, 19.885</t>
  </si>
  <si>
    <t>2005, L2, 5.115</t>
  </si>
  <si>
    <t>2006, L1, 50.6</t>
  </si>
  <si>
    <t>2006, L2, 7.983</t>
  </si>
  <si>
    <t>2009, L1, 19.885</t>
  </si>
  <si>
    <t>2009, L2, 4.619</t>
  </si>
  <si>
    <t>2009, L3, 26.096</t>
  </si>
  <si>
    <t>2009, L4, 7.983</t>
  </si>
  <si>
    <t>2010, L1, 16.2</t>
  </si>
  <si>
    <t>2010, L2, 0.1</t>
  </si>
  <si>
    <t>2010, L3, 0</t>
  </si>
  <si>
    <t>2010, L4, 0.1</t>
  </si>
  <si>
    <t>2010, L5, 34.2</t>
  </si>
  <si>
    <t>2010, L6, 7.983</t>
  </si>
  <si>
    <t>2012, L1, 30.5</t>
  </si>
  <si>
    <t>2012, L2, 5</t>
  </si>
  <si>
    <t>2012, L3, 0</t>
  </si>
  <si>
    <t>2012, L4, 15.1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</si>
</sst>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scheme val="minor"/>
    </font>
    <font>
      <sz val="11"/>
      <name val="Dialog"/>
    </font>
    <font>
      <b/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NumberFormat="1"/>
    <xf numFmtId="0" fontId="1" fillId="0" borderId="0" xfId="0" applyFont="1" applyAlignment="1">
      <alignment horizontal="right"/>
    </xf>
    <xf numFmtId="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73"/>
  <sheetViews>
    <sheetView topLeftCell="A7" zoomScaleNormal="100" workbookViewId="0">
      <selection activeCell="E25" sqref="A1:E25"/>
    </sheetView>
  </sheetViews>
  <sheetFormatPr defaultRowHeight="15"/>
  <cols>
    <col min="1" max="1" width="9" style="4" bestFit="1" customWidth="1"/>
    <col min="2" max="3" width="20.7109375" style="4" bestFit="1" customWidth="1"/>
    <col min="4" max="4" width="11.42578125" style="4" bestFit="1" customWidth="1"/>
    <col min="5" max="5" width="9.28515625" style="4" bestFit="1" customWidth="1"/>
    <col min="6" max="6" width="8.28515625" style="4" bestFit="1" customWidth="1"/>
    <col min="7" max="8" width="8.5703125" style="4" bestFit="1" customWidth="1"/>
    <col min="9" max="9" width="6" style="4" bestFit="1" customWidth="1"/>
    <col min="10" max="10" width="7" style="4" bestFit="1" customWidth="1"/>
    <col min="11" max="11" width="6" style="4" bestFit="1" customWidth="1"/>
    <col min="12" max="13" width="7" style="4" bestFit="1" customWidth="1"/>
    <col min="14" max="14" width="17" style="4" bestFit="1" customWidth="1"/>
    <col min="15" max="15" width="4" style="4" bestFit="1" customWidth="1"/>
    <col min="16" max="16" width="3.28515625" style="4" bestFit="1" customWidth="1"/>
    <col min="17" max="21" width="4.28515625" style="4" bestFit="1" customWidth="1"/>
    <col min="22" max="22" width="3.5703125" style="4" bestFit="1" customWidth="1"/>
    <col min="23" max="27" width="4.5703125" style="4" bestFit="1" customWidth="1"/>
    <col min="28" max="16384" width="9.140625" style="4"/>
  </cols>
  <sheetData>
    <row r="1" spans="1:28">
      <c r="A1" s="4" t="s">
        <v>0</v>
      </c>
      <c r="B1" s="4" t="s">
        <v>7</v>
      </c>
      <c r="C1" s="4" t="s">
        <v>1</v>
      </c>
      <c r="D1" s="4" t="s">
        <v>2</v>
      </c>
      <c r="E1" s="4" t="s">
        <v>18</v>
      </c>
      <c r="G1" s="4" t="s">
        <v>0</v>
      </c>
      <c r="H1" s="4" t="s">
        <v>3</v>
      </c>
      <c r="I1" s="4" t="s">
        <v>4</v>
      </c>
      <c r="J1" s="4" t="s">
        <v>5</v>
      </c>
      <c r="K1" s="4" t="s">
        <v>6</v>
      </c>
      <c r="L1" s="4" t="s">
        <v>8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</row>
    <row r="2" spans="1:28">
      <c r="A2" s="4">
        <v>1993</v>
      </c>
      <c r="B2" s="4" t="s">
        <v>3</v>
      </c>
      <c r="C2" s="4">
        <v>10.039999999999999</v>
      </c>
      <c r="D2" s="4" t="s">
        <v>60</v>
      </c>
      <c r="E2" s="4" t="s">
        <v>64</v>
      </c>
      <c r="G2" s="4">
        <v>1992</v>
      </c>
      <c r="H2" s="4">
        <v>10</v>
      </c>
      <c r="I2" s="4">
        <v>1.07</v>
      </c>
      <c r="J2" s="4">
        <v>39.53</v>
      </c>
      <c r="K2" s="4">
        <v>7.9829999999999997</v>
      </c>
    </row>
    <row r="3" spans="1:28">
      <c r="A3" s="4">
        <v>2001</v>
      </c>
      <c r="B3" s="4" t="s">
        <v>3</v>
      </c>
      <c r="D3" s="4" t="s">
        <v>61</v>
      </c>
      <c r="E3" s="4" t="s">
        <v>65</v>
      </c>
      <c r="G3" s="4">
        <v>1993</v>
      </c>
      <c r="H3" s="4">
        <v>24.524000000000001</v>
      </c>
      <c r="I3" s="4">
        <v>1.776</v>
      </c>
    </row>
    <row r="4" spans="1:28">
      <c r="A4" s="4">
        <v>2005</v>
      </c>
      <c r="B4" s="4" t="s">
        <v>3</v>
      </c>
      <c r="C4" s="4">
        <v>6.7770000000000001</v>
      </c>
      <c r="D4" s="4" t="s">
        <v>62</v>
      </c>
      <c r="E4" s="4" t="s">
        <v>66</v>
      </c>
      <c r="G4" s="4">
        <v>2000</v>
      </c>
      <c r="H4" s="4">
        <v>50.6</v>
      </c>
      <c r="I4" s="4">
        <v>7.9829999999999997</v>
      </c>
    </row>
    <row r="5" spans="1:28">
      <c r="A5" s="4">
        <v>2008</v>
      </c>
      <c r="B5" s="4" t="s">
        <v>3</v>
      </c>
      <c r="C5" s="4">
        <v>8.5670000000000002</v>
      </c>
      <c r="D5" s="4" t="s">
        <v>63</v>
      </c>
      <c r="E5" s="4" t="s">
        <v>67</v>
      </c>
      <c r="G5" s="4">
        <v>2001</v>
      </c>
      <c r="H5" s="4">
        <v>0</v>
      </c>
      <c r="I5" s="4">
        <v>8.1999999999999993</v>
      </c>
      <c r="J5" s="4">
        <v>0</v>
      </c>
      <c r="K5" s="4">
        <v>4.2859999999999996</v>
      </c>
      <c r="L5" s="4">
        <v>23.013999999999999</v>
      </c>
      <c r="M5" s="4">
        <v>4</v>
      </c>
      <c r="N5" s="4">
        <v>0</v>
      </c>
      <c r="O5" s="4">
        <v>2.5</v>
      </c>
      <c r="P5" s="4">
        <v>0</v>
      </c>
      <c r="Q5" s="4">
        <v>1</v>
      </c>
      <c r="R5" s="4">
        <v>0</v>
      </c>
      <c r="S5" s="4">
        <v>5</v>
      </c>
      <c r="T5" s="4">
        <v>0</v>
      </c>
      <c r="U5" s="4">
        <v>2.6</v>
      </c>
    </row>
    <row r="6" spans="1:28">
      <c r="A6" s="4">
        <v>2010</v>
      </c>
      <c r="B6" s="4" t="s">
        <v>3</v>
      </c>
      <c r="D6" s="4" t="s">
        <v>60</v>
      </c>
      <c r="E6" s="4" t="s">
        <v>68</v>
      </c>
      <c r="G6" s="4">
        <v>2004</v>
      </c>
      <c r="H6" s="4">
        <v>16.100000000000001</v>
      </c>
      <c r="I6" s="4">
        <v>3.6150000000000002</v>
      </c>
    </row>
    <row r="7" spans="1:28">
      <c r="A7" s="4">
        <v>2011</v>
      </c>
      <c r="B7" s="4" t="s">
        <v>3</v>
      </c>
      <c r="D7" s="4" t="s">
        <v>61</v>
      </c>
      <c r="E7" s="4" t="s">
        <v>69</v>
      </c>
      <c r="G7" s="4">
        <v>2005</v>
      </c>
      <c r="H7" s="4">
        <v>19.885000000000002</v>
      </c>
      <c r="I7" s="4">
        <v>5.1150000000000002</v>
      </c>
    </row>
    <row r="8" spans="1:28">
      <c r="A8" s="4">
        <v>1993</v>
      </c>
      <c r="B8" s="4" t="s">
        <v>4</v>
      </c>
      <c r="C8" s="4">
        <v>3.99</v>
      </c>
      <c r="D8" s="4" t="s">
        <v>62</v>
      </c>
      <c r="E8" s="4" t="s">
        <v>70</v>
      </c>
      <c r="G8" s="4">
        <v>2006</v>
      </c>
      <c r="H8" s="4">
        <v>50.6</v>
      </c>
      <c r="I8" s="4">
        <v>7.9829999999999997</v>
      </c>
    </row>
    <row r="9" spans="1:28">
      <c r="A9" s="4">
        <v>2001</v>
      </c>
      <c r="B9" s="4" t="s">
        <v>4</v>
      </c>
      <c r="C9" s="4">
        <v>7.27</v>
      </c>
      <c r="D9" s="4" t="s">
        <v>63</v>
      </c>
      <c r="E9" s="4" t="s">
        <v>71</v>
      </c>
      <c r="G9" s="4">
        <v>2009</v>
      </c>
      <c r="H9" s="4">
        <v>19.885000000000002</v>
      </c>
      <c r="I9" s="4">
        <v>4.6189999999999998</v>
      </c>
      <c r="J9" s="4">
        <v>26.096</v>
      </c>
      <c r="K9" s="4">
        <v>7.9829999999999997</v>
      </c>
    </row>
    <row r="10" spans="1:28">
      <c r="A10" s="4">
        <v>2005</v>
      </c>
      <c r="B10" s="4" t="s">
        <v>4</v>
      </c>
      <c r="C10" s="4">
        <v>11.15</v>
      </c>
      <c r="D10" s="4" t="s">
        <v>60</v>
      </c>
      <c r="E10" s="4" t="s">
        <v>72</v>
      </c>
      <c r="G10" s="4">
        <v>2010</v>
      </c>
      <c r="H10" s="4">
        <v>16.2</v>
      </c>
      <c r="I10" s="4">
        <v>0.1</v>
      </c>
      <c r="J10" s="4">
        <v>0</v>
      </c>
      <c r="K10" s="4">
        <v>0.1</v>
      </c>
      <c r="L10" s="4">
        <v>34.200000000000003</v>
      </c>
      <c r="M10" s="4">
        <v>7.9829999999999997</v>
      </c>
    </row>
    <row r="11" spans="1:28">
      <c r="A11" s="4">
        <v>2008</v>
      </c>
      <c r="B11" s="4" t="s">
        <v>4</v>
      </c>
      <c r="C11" s="4">
        <v>0.126</v>
      </c>
      <c r="D11" s="4" t="s">
        <v>61</v>
      </c>
      <c r="E11" s="4" t="s">
        <v>73</v>
      </c>
      <c r="G11" s="4">
        <v>2012</v>
      </c>
      <c r="H11" s="4">
        <v>30.5</v>
      </c>
      <c r="I11" s="4">
        <v>5</v>
      </c>
      <c r="J11" s="4">
        <v>0</v>
      </c>
      <c r="K11" s="4">
        <v>15.1</v>
      </c>
    </row>
    <row r="12" spans="1:28">
      <c r="A12" s="4">
        <v>2010</v>
      </c>
      <c r="B12" s="4" t="s">
        <v>4</v>
      </c>
      <c r="C12" s="4">
        <v>2.78</v>
      </c>
      <c r="D12" s="4" t="s">
        <v>62</v>
      </c>
      <c r="E12" s="4" t="s">
        <v>74</v>
      </c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spans="1:28">
      <c r="A13" s="4">
        <v>2011</v>
      </c>
      <c r="B13" s="4" t="s">
        <v>4</v>
      </c>
      <c r="C13" s="4">
        <v>3.077</v>
      </c>
      <c r="D13" s="4" t="s">
        <v>63</v>
      </c>
      <c r="E13" s="4" t="s">
        <v>75</v>
      </c>
    </row>
    <row r="14" spans="1:28">
      <c r="A14" s="4">
        <v>1993</v>
      </c>
      <c r="B14" s="4" t="s">
        <v>5</v>
      </c>
      <c r="C14" s="4">
        <v>5.77</v>
      </c>
      <c r="D14" s="4" t="s">
        <v>60</v>
      </c>
      <c r="E14" s="4" t="s">
        <v>76</v>
      </c>
    </row>
    <row r="15" spans="1:28">
      <c r="A15" s="4">
        <v>2001</v>
      </c>
      <c r="B15" s="4" t="s">
        <v>5</v>
      </c>
      <c r="C15" s="4">
        <v>2.61</v>
      </c>
      <c r="D15" s="4" t="s">
        <v>61</v>
      </c>
      <c r="E15" s="4" t="s">
        <v>77</v>
      </c>
    </row>
    <row r="16" spans="1:28">
      <c r="A16" s="4">
        <v>2005</v>
      </c>
      <c r="B16" s="4" t="s">
        <v>5</v>
      </c>
      <c r="D16" s="4" t="s">
        <v>62</v>
      </c>
      <c r="E16" s="4" t="s">
        <v>78</v>
      </c>
    </row>
    <row r="17" spans="1:14">
      <c r="A17" s="4">
        <v>2008</v>
      </c>
      <c r="B17" s="4" t="s">
        <v>5</v>
      </c>
      <c r="C17" s="4">
        <v>11.807</v>
      </c>
      <c r="D17" s="4" t="s">
        <v>63</v>
      </c>
      <c r="E17" s="4" t="s">
        <v>79</v>
      </c>
    </row>
    <row r="18" spans="1:14">
      <c r="A18" s="4">
        <v>2010</v>
      </c>
      <c r="B18" s="4" t="s">
        <v>5</v>
      </c>
      <c r="D18" s="4" t="s">
        <v>60</v>
      </c>
      <c r="E18" s="4" t="s">
        <v>80</v>
      </c>
    </row>
    <row r="19" spans="1:14">
      <c r="A19" s="4">
        <v>2011</v>
      </c>
      <c r="B19" s="4" t="s">
        <v>5</v>
      </c>
      <c r="C19" s="4">
        <v>0.02</v>
      </c>
      <c r="D19" s="4" t="s">
        <v>61</v>
      </c>
      <c r="E19" s="4" t="s">
        <v>81</v>
      </c>
    </row>
    <row r="20" spans="1:14">
      <c r="A20" s="4">
        <v>1993</v>
      </c>
      <c r="B20" s="4" t="s">
        <v>6</v>
      </c>
      <c r="C20" s="4">
        <v>4.3</v>
      </c>
      <c r="D20" s="4" t="s">
        <v>62</v>
      </c>
      <c r="E20" s="4" t="s">
        <v>82</v>
      </c>
    </row>
    <row r="21" spans="1:14">
      <c r="A21" s="4">
        <v>2001</v>
      </c>
      <c r="B21" s="4" t="s">
        <v>6</v>
      </c>
      <c r="C21" s="4">
        <v>14.611000000000001</v>
      </c>
      <c r="D21" s="4" t="s">
        <v>63</v>
      </c>
      <c r="E21" s="4" t="s">
        <v>83</v>
      </c>
    </row>
    <row r="22" spans="1:14">
      <c r="A22" s="4">
        <v>2005</v>
      </c>
      <c r="B22" s="4" t="s">
        <v>6</v>
      </c>
      <c r="D22" s="4" t="s">
        <v>60</v>
      </c>
      <c r="E22" s="4" t="s">
        <v>84</v>
      </c>
    </row>
    <row r="23" spans="1:14">
      <c r="A23" s="4">
        <v>2008</v>
      </c>
      <c r="B23" s="4" t="s">
        <v>6</v>
      </c>
      <c r="C23" s="4">
        <v>3.69</v>
      </c>
      <c r="D23" s="4" t="s">
        <v>61</v>
      </c>
      <c r="E23" s="4" t="s">
        <v>85</v>
      </c>
    </row>
    <row r="24" spans="1:14">
      <c r="A24" s="4">
        <v>2010</v>
      </c>
      <c r="B24" s="4" t="s">
        <v>6</v>
      </c>
      <c r="D24" s="4" t="s">
        <v>62</v>
      </c>
      <c r="E24" s="4" t="s">
        <v>86</v>
      </c>
    </row>
    <row r="25" spans="1:14">
      <c r="A25" s="4">
        <v>2011</v>
      </c>
      <c r="B25" s="4" t="s">
        <v>6</v>
      </c>
      <c r="C25" s="4">
        <v>8.5999999999999993E-2</v>
      </c>
      <c r="D25" s="4" t="s">
        <v>63</v>
      </c>
      <c r="E25" s="4" t="s">
        <v>87</v>
      </c>
    </row>
    <row r="29" spans="1:14">
      <c r="A29" s="4" t="s">
        <v>18</v>
      </c>
      <c r="B29" s="4" t="s">
        <v>19</v>
      </c>
      <c r="C29" s="4" t="s">
        <v>20</v>
      </c>
      <c r="D29" s="4" t="s">
        <v>21</v>
      </c>
      <c r="E29" s="4" t="s">
        <v>22</v>
      </c>
      <c r="F29" s="4" t="s">
        <v>23</v>
      </c>
      <c r="G29" s="4" t="s">
        <v>24</v>
      </c>
      <c r="H29" s="4" t="s">
        <v>25</v>
      </c>
    </row>
    <row r="30" spans="1:14">
      <c r="A30" s="4" t="s">
        <v>43</v>
      </c>
      <c r="B30" s="4" t="s">
        <v>27</v>
      </c>
      <c r="C30" s="4" t="s">
        <v>28</v>
      </c>
      <c r="D30" s="4" t="s">
        <v>29</v>
      </c>
      <c r="E30" s="8">
        <v>1992</v>
      </c>
      <c r="F30" s="8">
        <v>10</v>
      </c>
      <c r="G30" s="8">
        <v>11.07</v>
      </c>
      <c r="H30" s="8">
        <v>1.07</v>
      </c>
      <c r="L30" s="4">
        <v>1992</v>
      </c>
      <c r="M30" s="4">
        <v>10</v>
      </c>
      <c r="N30" s="4" t="e">
        <f>VLOOKUP($M30, $A$53:$H$73, 3,FALSE )</f>
        <v>#N/A</v>
      </c>
    </row>
    <row r="31" spans="1:14">
      <c r="A31" s="4" t="s">
        <v>26</v>
      </c>
      <c r="B31" s="4" t="s">
        <v>27</v>
      </c>
      <c r="C31" s="4" t="s">
        <v>28</v>
      </c>
      <c r="D31" s="4" t="s">
        <v>29</v>
      </c>
      <c r="E31" s="8">
        <v>1992</v>
      </c>
      <c r="F31" s="8">
        <v>50.6</v>
      </c>
      <c r="G31" s="8">
        <v>58.582999999999998</v>
      </c>
      <c r="H31" s="8">
        <v>7.9829999999999997</v>
      </c>
      <c r="L31" s="4">
        <v>1992</v>
      </c>
      <c r="M31" s="4">
        <v>1.07</v>
      </c>
      <c r="N31" s="4" t="str">
        <f t="shared" ref="N31:N37" si="0">VLOOKUP($M31, $A$53:$H$73, 3,FALSE )</f>
        <v>HMA Thin Overlay</v>
      </c>
    </row>
    <row r="32" spans="1:14">
      <c r="A32" s="4" t="s">
        <v>30</v>
      </c>
      <c r="B32" s="4" t="s">
        <v>27</v>
      </c>
      <c r="C32" s="4" t="s">
        <v>28</v>
      </c>
      <c r="D32" s="4" t="s">
        <v>29</v>
      </c>
      <c r="E32" s="8">
        <v>1993</v>
      </c>
      <c r="F32" s="8">
        <v>24.524000000000001</v>
      </c>
      <c r="G32" s="8">
        <v>26.3</v>
      </c>
      <c r="H32" s="8">
        <v>1.776</v>
      </c>
      <c r="L32" s="4">
        <v>1992</v>
      </c>
      <c r="M32" s="4">
        <f>F31-G30</f>
        <v>39.53</v>
      </c>
      <c r="N32" s="4" t="e">
        <f t="shared" si="0"/>
        <v>#N/A</v>
      </c>
    </row>
    <row r="33" spans="1:14">
      <c r="A33" s="4" t="s">
        <v>31</v>
      </c>
      <c r="B33" s="4" t="s">
        <v>32</v>
      </c>
      <c r="C33" s="4" t="s">
        <v>28</v>
      </c>
      <c r="D33" s="4" t="s">
        <v>29</v>
      </c>
      <c r="E33" s="8">
        <v>2000</v>
      </c>
      <c r="F33" s="8">
        <v>50.6</v>
      </c>
      <c r="G33" s="8">
        <v>58.582999999999998</v>
      </c>
      <c r="H33" s="8">
        <v>7.9829999999999997</v>
      </c>
      <c r="L33" s="4">
        <v>1992</v>
      </c>
      <c r="M33" s="4">
        <f>H31</f>
        <v>7.9829999999999997</v>
      </c>
      <c r="N33" s="4" t="str">
        <f t="shared" si="0"/>
        <v>HMA Thin Overlay</v>
      </c>
    </row>
    <row r="34" spans="1:14">
      <c r="A34" s="4" t="s">
        <v>44</v>
      </c>
      <c r="B34" s="4" t="s">
        <v>36</v>
      </c>
      <c r="C34" s="4" t="s">
        <v>28</v>
      </c>
      <c r="D34" s="4" t="s">
        <v>29</v>
      </c>
      <c r="E34" s="8">
        <v>2001</v>
      </c>
      <c r="F34" s="8">
        <v>0</v>
      </c>
      <c r="G34" s="8">
        <v>8.1999999999999993</v>
      </c>
      <c r="H34" s="8">
        <v>8.1999999999999993</v>
      </c>
      <c r="L34" s="4">
        <v>1993</v>
      </c>
      <c r="M34" s="4">
        <v>24.524000000000001</v>
      </c>
      <c r="N34" s="4" t="e">
        <f t="shared" si="0"/>
        <v>#N/A</v>
      </c>
    </row>
    <row r="35" spans="1:14">
      <c r="A35" s="4" t="s">
        <v>45</v>
      </c>
      <c r="B35" s="4" t="s">
        <v>27</v>
      </c>
      <c r="C35" s="4" t="s">
        <v>28</v>
      </c>
      <c r="D35" s="4" t="s">
        <v>29</v>
      </c>
      <c r="E35" s="8">
        <v>2001</v>
      </c>
      <c r="F35" s="8">
        <v>8.1999999999999993</v>
      </c>
      <c r="G35" s="8">
        <v>12.486000000000001</v>
      </c>
      <c r="H35" s="8">
        <v>4.2859999999999996</v>
      </c>
      <c r="L35" s="4">
        <v>1993</v>
      </c>
      <c r="M35" s="4">
        <v>1.776</v>
      </c>
      <c r="N35" s="4" t="str">
        <f t="shared" si="0"/>
        <v>HMA Thin Overlay</v>
      </c>
    </row>
    <row r="36" spans="1:14">
      <c r="A36" s="4" t="s">
        <v>33</v>
      </c>
      <c r="B36" s="4" t="s">
        <v>34</v>
      </c>
      <c r="C36" s="4" t="s">
        <v>28</v>
      </c>
      <c r="D36" s="4" t="s">
        <v>29</v>
      </c>
      <c r="E36" s="8">
        <v>2001</v>
      </c>
      <c r="F36" s="8">
        <v>35.5</v>
      </c>
      <c r="G36" s="8">
        <v>39.5</v>
      </c>
      <c r="H36" s="8">
        <v>4</v>
      </c>
      <c r="L36" s="4">
        <v>2000</v>
      </c>
      <c r="M36" s="4">
        <v>50.6</v>
      </c>
      <c r="N36" s="4" t="e">
        <f t="shared" si="0"/>
        <v>#N/A</v>
      </c>
    </row>
    <row r="37" spans="1:14">
      <c r="A37" s="4" t="s">
        <v>33</v>
      </c>
      <c r="B37" s="4" t="s">
        <v>34</v>
      </c>
      <c r="C37" s="4" t="s">
        <v>28</v>
      </c>
      <c r="D37" s="4" t="s">
        <v>29</v>
      </c>
      <c r="E37" s="8">
        <v>2001</v>
      </c>
      <c r="F37" s="8">
        <v>39.5</v>
      </c>
      <c r="G37" s="8">
        <v>42</v>
      </c>
      <c r="H37" s="8">
        <v>2.5</v>
      </c>
      <c r="L37" s="4">
        <v>2000</v>
      </c>
      <c r="M37" s="4">
        <v>7.9829999999999997</v>
      </c>
      <c r="N37" s="4" t="str">
        <f t="shared" si="0"/>
        <v>HMA Thin Overlay</v>
      </c>
    </row>
    <row r="38" spans="1:14">
      <c r="A38" s="4" t="s">
        <v>33</v>
      </c>
      <c r="B38" s="4" t="s">
        <v>34</v>
      </c>
      <c r="C38" s="4" t="s">
        <v>28</v>
      </c>
      <c r="D38" s="4" t="s">
        <v>29</v>
      </c>
      <c r="E38" s="8">
        <v>2001</v>
      </c>
      <c r="F38" s="8">
        <v>42</v>
      </c>
      <c r="G38" s="8">
        <v>43</v>
      </c>
      <c r="H38" s="8">
        <v>1</v>
      </c>
    </row>
    <row r="39" spans="1:14">
      <c r="A39" s="4" t="s">
        <v>33</v>
      </c>
      <c r="B39" s="4" t="s">
        <v>36</v>
      </c>
      <c r="C39" s="4" t="s">
        <v>28</v>
      </c>
      <c r="D39" s="4" t="s">
        <v>29</v>
      </c>
      <c r="E39" s="8">
        <v>2001</v>
      </c>
      <c r="F39" s="8">
        <v>43</v>
      </c>
      <c r="G39" s="8">
        <v>48</v>
      </c>
      <c r="H39" s="8">
        <v>5</v>
      </c>
    </row>
    <row r="40" spans="1:14">
      <c r="A40" s="4" t="s">
        <v>33</v>
      </c>
      <c r="B40" s="4" t="s">
        <v>34</v>
      </c>
      <c r="C40" s="4" t="s">
        <v>28</v>
      </c>
      <c r="D40" s="4" t="s">
        <v>29</v>
      </c>
      <c r="E40" s="8">
        <v>2001</v>
      </c>
      <c r="F40" s="8">
        <v>48</v>
      </c>
      <c r="G40" s="8">
        <v>50.6</v>
      </c>
      <c r="H40" s="8">
        <v>2.6</v>
      </c>
    </row>
    <row r="41" spans="1:14">
      <c r="A41" s="4" t="s">
        <v>35</v>
      </c>
      <c r="B41" s="4" t="s">
        <v>36</v>
      </c>
      <c r="C41" s="4" t="s">
        <v>28</v>
      </c>
      <c r="D41" s="4" t="s">
        <v>29</v>
      </c>
      <c r="E41" s="8">
        <v>2004</v>
      </c>
      <c r="F41" s="8">
        <v>16.100000000000001</v>
      </c>
      <c r="G41" s="8">
        <v>19.715</v>
      </c>
      <c r="H41" s="8">
        <v>3.6150000000000002</v>
      </c>
    </row>
    <row r="42" spans="1:14">
      <c r="A42" s="4" t="s">
        <v>37</v>
      </c>
      <c r="B42" s="4" t="s">
        <v>38</v>
      </c>
      <c r="C42" s="4" t="s">
        <v>28</v>
      </c>
      <c r="D42" s="4" t="s">
        <v>29</v>
      </c>
      <c r="E42" s="8">
        <v>2005</v>
      </c>
      <c r="F42" s="8">
        <v>19.885000000000002</v>
      </c>
      <c r="G42" s="8">
        <v>25</v>
      </c>
      <c r="H42" s="8">
        <v>5.1150000000000002</v>
      </c>
    </row>
    <row r="43" spans="1:14">
      <c r="A43" s="4" t="s">
        <v>39</v>
      </c>
      <c r="B43" s="4" t="s">
        <v>38</v>
      </c>
      <c r="C43" s="4" t="s">
        <v>28</v>
      </c>
      <c r="D43" s="4" t="s">
        <v>29</v>
      </c>
      <c r="E43" s="8">
        <v>2006</v>
      </c>
      <c r="F43" s="8">
        <v>50.6</v>
      </c>
      <c r="G43" s="8">
        <v>58.582999999999998</v>
      </c>
      <c r="H43" s="8">
        <v>7.9829999999999997</v>
      </c>
    </row>
    <row r="44" spans="1:14">
      <c r="A44" s="4" t="s">
        <v>46</v>
      </c>
      <c r="B44" s="4" t="s">
        <v>27</v>
      </c>
      <c r="C44" s="4" t="s">
        <v>28</v>
      </c>
      <c r="D44" s="4" t="s">
        <v>29</v>
      </c>
      <c r="E44" s="8">
        <v>2009</v>
      </c>
      <c r="F44" s="8">
        <v>19.885000000000002</v>
      </c>
      <c r="G44" s="8">
        <v>24.504000000000001</v>
      </c>
      <c r="H44" s="8">
        <v>4.6189999999999998</v>
      </c>
    </row>
    <row r="45" spans="1:14">
      <c r="A45" s="4" t="s">
        <v>40</v>
      </c>
      <c r="B45" s="4" t="s">
        <v>38</v>
      </c>
      <c r="C45" s="4" t="s">
        <v>28</v>
      </c>
      <c r="D45" s="4" t="s">
        <v>29</v>
      </c>
      <c r="E45" s="8">
        <v>2009</v>
      </c>
      <c r="F45" s="8">
        <v>50.6</v>
      </c>
      <c r="G45" s="8">
        <v>58.582999999999998</v>
      </c>
      <c r="H45" s="8">
        <v>7.9829999999999997</v>
      </c>
    </row>
    <row r="46" spans="1:14">
      <c r="A46" s="4" t="s">
        <v>47</v>
      </c>
      <c r="B46" s="4" t="s">
        <v>36</v>
      </c>
      <c r="C46" s="4" t="s">
        <v>28</v>
      </c>
      <c r="D46" s="4" t="s">
        <v>29</v>
      </c>
      <c r="E46" s="8">
        <v>2010</v>
      </c>
      <c r="F46" s="8">
        <v>16.2</v>
      </c>
      <c r="G46" s="8">
        <v>16.3</v>
      </c>
      <c r="H46" s="8">
        <v>0.1</v>
      </c>
    </row>
    <row r="47" spans="1:14">
      <c r="A47" s="4" t="s">
        <v>47</v>
      </c>
      <c r="B47" s="4" t="s">
        <v>36</v>
      </c>
      <c r="C47" s="4" t="s">
        <v>28</v>
      </c>
      <c r="D47" s="4" t="s">
        <v>29</v>
      </c>
      <c r="E47" s="8">
        <v>2010</v>
      </c>
      <c r="F47" s="8">
        <v>16.3</v>
      </c>
      <c r="G47" s="8">
        <v>16.399999999999999</v>
      </c>
      <c r="H47" s="8">
        <v>0.1</v>
      </c>
    </row>
    <row r="48" spans="1:14">
      <c r="A48" s="4" t="s">
        <v>41</v>
      </c>
      <c r="B48" s="4" t="s">
        <v>27</v>
      </c>
      <c r="C48" s="4" t="s">
        <v>28</v>
      </c>
      <c r="D48" s="4" t="s">
        <v>29</v>
      </c>
      <c r="E48" s="8">
        <v>2010</v>
      </c>
      <c r="F48" s="8">
        <v>50.6</v>
      </c>
      <c r="G48" s="8">
        <v>58.582999999999998</v>
      </c>
      <c r="H48" s="8">
        <v>7.9829999999999997</v>
      </c>
    </row>
    <row r="49" spans="1:8">
      <c r="A49" s="4" t="s">
        <v>42</v>
      </c>
      <c r="B49" s="4" t="s">
        <v>38</v>
      </c>
      <c r="C49" s="4" t="s">
        <v>28</v>
      </c>
      <c r="D49" s="4" t="s">
        <v>29</v>
      </c>
      <c r="E49" s="8">
        <v>2012</v>
      </c>
      <c r="F49" s="8">
        <v>30.5</v>
      </c>
      <c r="G49" s="8">
        <v>35.5</v>
      </c>
      <c r="H49" s="8">
        <v>5</v>
      </c>
    </row>
    <row r="50" spans="1:8">
      <c r="A50" s="4" t="s">
        <v>42</v>
      </c>
      <c r="B50" s="4" t="s">
        <v>27</v>
      </c>
      <c r="C50" s="4" t="s">
        <v>28</v>
      </c>
      <c r="D50" s="4" t="s">
        <v>29</v>
      </c>
      <c r="E50" s="8">
        <v>2012</v>
      </c>
      <c r="F50" s="8">
        <v>30.5</v>
      </c>
      <c r="G50" s="8">
        <v>50.6</v>
      </c>
      <c r="H50" s="8">
        <v>20.100000000000001</v>
      </c>
    </row>
    <row r="52" spans="1:8">
      <c r="A52" s="4" t="s">
        <v>25</v>
      </c>
      <c r="B52" s="4" t="s">
        <v>18</v>
      </c>
      <c r="C52" s="4" t="s">
        <v>19</v>
      </c>
      <c r="D52" s="4" t="s">
        <v>20</v>
      </c>
      <c r="E52" s="4" t="s">
        <v>21</v>
      </c>
      <c r="F52" s="4" t="s">
        <v>22</v>
      </c>
      <c r="G52" s="4" t="s">
        <v>23</v>
      </c>
      <c r="H52" s="4" t="s">
        <v>24</v>
      </c>
    </row>
    <row r="53" spans="1:8">
      <c r="A53" s="8">
        <v>1.07</v>
      </c>
      <c r="B53" s="4" t="s">
        <v>43</v>
      </c>
      <c r="C53" s="4" t="s">
        <v>27</v>
      </c>
      <c r="D53" s="4" t="s">
        <v>28</v>
      </c>
      <c r="E53" s="4" t="s">
        <v>29</v>
      </c>
      <c r="F53" s="8">
        <v>1992</v>
      </c>
      <c r="G53" s="8">
        <v>10</v>
      </c>
      <c r="H53" s="8">
        <v>11.07</v>
      </c>
    </row>
    <row r="54" spans="1:8">
      <c r="A54" s="8">
        <v>7.9829999999999997</v>
      </c>
      <c r="B54" s="4" t="s">
        <v>26</v>
      </c>
      <c r="C54" s="4" t="s">
        <v>27</v>
      </c>
      <c r="D54" s="4" t="s">
        <v>28</v>
      </c>
      <c r="E54" s="4" t="s">
        <v>29</v>
      </c>
      <c r="F54" s="8">
        <v>1992</v>
      </c>
      <c r="G54" s="8">
        <v>50.6</v>
      </c>
      <c r="H54" s="8">
        <v>58.582999999999998</v>
      </c>
    </row>
    <row r="55" spans="1:8">
      <c r="A55" s="8">
        <v>1.776</v>
      </c>
      <c r="B55" s="4" t="s">
        <v>30</v>
      </c>
      <c r="C55" s="4" t="s">
        <v>27</v>
      </c>
      <c r="D55" s="4" t="s">
        <v>28</v>
      </c>
      <c r="E55" s="4" t="s">
        <v>29</v>
      </c>
      <c r="F55" s="8">
        <v>1993</v>
      </c>
      <c r="G55" s="8">
        <v>24.524000000000001</v>
      </c>
      <c r="H55" s="8">
        <v>26.3</v>
      </c>
    </row>
    <row r="56" spans="1:8">
      <c r="A56" s="8">
        <v>7.9829999999999997</v>
      </c>
      <c r="B56" s="4" t="s">
        <v>31</v>
      </c>
      <c r="C56" s="4" t="s">
        <v>32</v>
      </c>
      <c r="D56" s="4" t="s">
        <v>28</v>
      </c>
      <c r="E56" s="4" t="s">
        <v>29</v>
      </c>
      <c r="F56" s="8">
        <v>2000</v>
      </c>
      <c r="G56" s="8">
        <v>50.6</v>
      </c>
      <c r="H56" s="8">
        <v>58.582999999999998</v>
      </c>
    </row>
    <row r="57" spans="1:8">
      <c r="A57" s="8">
        <v>8.1999999999999993</v>
      </c>
      <c r="B57" s="4" t="s">
        <v>44</v>
      </c>
      <c r="C57" s="4" t="s">
        <v>36</v>
      </c>
      <c r="D57" s="4" t="s">
        <v>28</v>
      </c>
      <c r="E57" s="4" t="s">
        <v>29</v>
      </c>
      <c r="F57" s="8">
        <v>2001</v>
      </c>
      <c r="G57" s="8">
        <v>0</v>
      </c>
      <c r="H57" s="8">
        <v>8.1999999999999993</v>
      </c>
    </row>
    <row r="58" spans="1:8">
      <c r="A58" s="8">
        <v>4.2859999999999996</v>
      </c>
      <c r="B58" s="4" t="s">
        <v>45</v>
      </c>
      <c r="C58" s="4" t="s">
        <v>27</v>
      </c>
      <c r="D58" s="4" t="s">
        <v>28</v>
      </c>
      <c r="E58" s="4" t="s">
        <v>29</v>
      </c>
      <c r="F58" s="8">
        <v>2001</v>
      </c>
      <c r="G58" s="8">
        <v>8.1999999999999993</v>
      </c>
      <c r="H58" s="8">
        <v>12.486000000000001</v>
      </c>
    </row>
    <row r="59" spans="1:8">
      <c r="A59" s="8">
        <v>4</v>
      </c>
      <c r="B59" s="4" t="s">
        <v>33</v>
      </c>
      <c r="C59" s="4" t="s">
        <v>34</v>
      </c>
      <c r="D59" s="4" t="s">
        <v>28</v>
      </c>
      <c r="E59" s="4" t="s">
        <v>29</v>
      </c>
      <c r="F59" s="8">
        <v>2001</v>
      </c>
      <c r="G59" s="8">
        <v>35.5</v>
      </c>
      <c r="H59" s="8">
        <v>39.5</v>
      </c>
    </row>
    <row r="60" spans="1:8">
      <c r="A60" s="8">
        <v>2.5</v>
      </c>
      <c r="B60" s="4" t="s">
        <v>33</v>
      </c>
      <c r="C60" s="4" t="s">
        <v>34</v>
      </c>
      <c r="D60" s="4" t="s">
        <v>28</v>
      </c>
      <c r="E60" s="4" t="s">
        <v>29</v>
      </c>
      <c r="F60" s="8">
        <v>2001</v>
      </c>
      <c r="G60" s="8">
        <v>39.5</v>
      </c>
      <c r="H60" s="8">
        <v>42</v>
      </c>
    </row>
    <row r="61" spans="1:8">
      <c r="A61" s="8">
        <v>1</v>
      </c>
      <c r="B61" s="4" t="s">
        <v>33</v>
      </c>
      <c r="C61" s="4" t="s">
        <v>34</v>
      </c>
      <c r="D61" s="4" t="s">
        <v>28</v>
      </c>
      <c r="E61" s="4" t="s">
        <v>29</v>
      </c>
      <c r="F61" s="8">
        <v>2001</v>
      </c>
      <c r="G61" s="8">
        <v>42</v>
      </c>
      <c r="H61" s="8">
        <v>43</v>
      </c>
    </row>
    <row r="62" spans="1:8">
      <c r="A62" s="8">
        <v>5</v>
      </c>
      <c r="B62" s="4" t="s">
        <v>33</v>
      </c>
      <c r="C62" s="4" t="s">
        <v>36</v>
      </c>
      <c r="D62" s="4" t="s">
        <v>28</v>
      </c>
      <c r="E62" s="4" t="s">
        <v>29</v>
      </c>
      <c r="F62" s="8">
        <v>2001</v>
      </c>
      <c r="G62" s="8">
        <v>43</v>
      </c>
      <c r="H62" s="8">
        <v>48</v>
      </c>
    </row>
    <row r="63" spans="1:8">
      <c r="A63" s="8">
        <v>2.6</v>
      </c>
      <c r="B63" s="4" t="s">
        <v>33</v>
      </c>
      <c r="C63" s="4" t="s">
        <v>34</v>
      </c>
      <c r="D63" s="4" t="s">
        <v>28</v>
      </c>
      <c r="E63" s="4" t="s">
        <v>29</v>
      </c>
      <c r="F63" s="8">
        <v>2001</v>
      </c>
      <c r="G63" s="8">
        <v>48</v>
      </c>
      <c r="H63" s="8">
        <v>50.6</v>
      </c>
    </row>
    <row r="64" spans="1:8">
      <c r="A64" s="8">
        <v>3.6150000000000002</v>
      </c>
      <c r="B64" s="4" t="s">
        <v>35</v>
      </c>
      <c r="C64" s="4" t="s">
        <v>36</v>
      </c>
      <c r="D64" s="4" t="s">
        <v>28</v>
      </c>
      <c r="E64" s="4" t="s">
        <v>29</v>
      </c>
      <c r="F64" s="8">
        <v>2004</v>
      </c>
      <c r="G64" s="8">
        <v>16.100000000000001</v>
      </c>
      <c r="H64" s="8">
        <v>19.715</v>
      </c>
    </row>
    <row r="65" spans="1:8">
      <c r="A65" s="8">
        <v>5.1150000000000002</v>
      </c>
      <c r="B65" s="4" t="s">
        <v>37</v>
      </c>
      <c r="C65" s="4" t="s">
        <v>38</v>
      </c>
      <c r="D65" s="4" t="s">
        <v>28</v>
      </c>
      <c r="E65" s="4" t="s">
        <v>29</v>
      </c>
      <c r="F65" s="8">
        <v>2005</v>
      </c>
      <c r="G65" s="8">
        <v>19.885000000000002</v>
      </c>
      <c r="H65" s="8">
        <v>25</v>
      </c>
    </row>
    <row r="66" spans="1:8">
      <c r="A66" s="8">
        <v>7.9829999999999997</v>
      </c>
      <c r="B66" s="4" t="s">
        <v>39</v>
      </c>
      <c r="C66" s="4" t="s">
        <v>38</v>
      </c>
      <c r="D66" s="4" t="s">
        <v>28</v>
      </c>
      <c r="E66" s="4" t="s">
        <v>29</v>
      </c>
      <c r="F66" s="8">
        <v>2006</v>
      </c>
      <c r="G66" s="8">
        <v>50.6</v>
      </c>
      <c r="H66" s="8">
        <v>58.582999999999998</v>
      </c>
    </row>
    <row r="67" spans="1:8">
      <c r="A67" s="8">
        <v>4.6189999999999998</v>
      </c>
      <c r="B67" s="4" t="s">
        <v>46</v>
      </c>
      <c r="C67" s="4" t="s">
        <v>27</v>
      </c>
      <c r="D67" s="4" t="s">
        <v>28</v>
      </c>
      <c r="E67" s="4" t="s">
        <v>29</v>
      </c>
      <c r="F67" s="8">
        <v>2009</v>
      </c>
      <c r="G67" s="8">
        <v>19.885000000000002</v>
      </c>
      <c r="H67" s="8">
        <v>24.504000000000001</v>
      </c>
    </row>
    <row r="68" spans="1:8">
      <c r="A68" s="8">
        <v>7.9829999999999997</v>
      </c>
      <c r="B68" s="4" t="s">
        <v>40</v>
      </c>
      <c r="C68" s="4" t="s">
        <v>38</v>
      </c>
      <c r="D68" s="4" t="s">
        <v>28</v>
      </c>
      <c r="E68" s="4" t="s">
        <v>29</v>
      </c>
      <c r="F68" s="8">
        <v>2009</v>
      </c>
      <c r="G68" s="8">
        <v>50.6</v>
      </c>
      <c r="H68" s="8">
        <v>58.582999999999998</v>
      </c>
    </row>
    <row r="69" spans="1:8">
      <c r="A69" s="8">
        <v>0.1</v>
      </c>
      <c r="B69" s="4" t="s">
        <v>47</v>
      </c>
      <c r="C69" s="4" t="s">
        <v>36</v>
      </c>
      <c r="D69" s="4" t="s">
        <v>28</v>
      </c>
      <c r="E69" s="4" t="s">
        <v>29</v>
      </c>
      <c r="F69" s="8">
        <v>2010</v>
      </c>
      <c r="G69" s="8">
        <v>16.2</v>
      </c>
      <c r="H69" s="8">
        <v>16.3</v>
      </c>
    </row>
    <row r="70" spans="1:8">
      <c r="A70" s="8">
        <v>0.1</v>
      </c>
      <c r="B70" s="4" t="s">
        <v>47</v>
      </c>
      <c r="C70" s="4" t="s">
        <v>36</v>
      </c>
      <c r="D70" s="4" t="s">
        <v>28</v>
      </c>
      <c r="E70" s="4" t="s">
        <v>29</v>
      </c>
      <c r="F70" s="8">
        <v>2010</v>
      </c>
      <c r="G70" s="8">
        <v>16.3</v>
      </c>
      <c r="H70" s="8">
        <v>16.399999999999999</v>
      </c>
    </row>
    <row r="71" spans="1:8">
      <c r="A71" s="8">
        <v>7.9829999999999997</v>
      </c>
      <c r="B71" s="4" t="s">
        <v>41</v>
      </c>
      <c r="C71" s="4" t="s">
        <v>27</v>
      </c>
      <c r="D71" s="4" t="s">
        <v>28</v>
      </c>
      <c r="E71" s="4" t="s">
        <v>29</v>
      </c>
      <c r="F71" s="8">
        <v>2010</v>
      </c>
      <c r="G71" s="8">
        <v>50.6</v>
      </c>
      <c r="H71" s="8">
        <v>58.582999999999998</v>
      </c>
    </row>
    <row r="72" spans="1:8">
      <c r="A72" s="8">
        <v>5</v>
      </c>
      <c r="B72" s="4" t="s">
        <v>42</v>
      </c>
      <c r="C72" s="4" t="s">
        <v>38</v>
      </c>
      <c r="D72" s="4" t="s">
        <v>28</v>
      </c>
      <c r="E72" s="4" t="s">
        <v>29</v>
      </c>
      <c r="F72" s="8">
        <v>2012</v>
      </c>
      <c r="G72" s="8">
        <v>30.5</v>
      </c>
      <c r="H72" s="8">
        <v>35.5</v>
      </c>
    </row>
    <row r="73" spans="1:8">
      <c r="A73" s="8">
        <v>20.100000000000001</v>
      </c>
      <c r="B73" s="4" t="s">
        <v>42</v>
      </c>
      <c r="C73" s="4" t="s">
        <v>27</v>
      </c>
      <c r="D73" s="4" t="s">
        <v>28</v>
      </c>
      <c r="E73" s="4" t="s">
        <v>29</v>
      </c>
      <c r="F73" s="8">
        <v>2012</v>
      </c>
      <c r="G73" s="8">
        <v>30.5</v>
      </c>
      <c r="H73" s="8">
        <v>50.6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"/>
  <sheetViews>
    <sheetView workbookViewId="0">
      <selection activeCell="B11" sqref="B11"/>
    </sheetView>
  </sheetViews>
  <sheetFormatPr defaultRowHeight="15"/>
  <sheetData>
    <row r="1" spans="1:2">
      <c r="A1" t="s">
        <v>104</v>
      </c>
      <c r="B1" t="s">
        <v>105</v>
      </c>
    </row>
    <row r="2" spans="1:2">
      <c r="A2" t="s">
        <v>106</v>
      </c>
      <c r="B2">
        <v>25</v>
      </c>
    </row>
    <row r="3" spans="1:2">
      <c r="A3" t="s">
        <v>107</v>
      </c>
      <c r="B3">
        <v>26</v>
      </c>
    </row>
    <row r="4" spans="1:2">
      <c r="A4" t="s">
        <v>108</v>
      </c>
      <c r="B4">
        <v>27</v>
      </c>
    </row>
    <row r="5" spans="1:2">
      <c r="A5" t="s">
        <v>109</v>
      </c>
      <c r="B5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9"/>
  <sheetViews>
    <sheetView workbookViewId="0">
      <selection activeCell="F14" sqref="F14"/>
    </sheetView>
  </sheetViews>
  <sheetFormatPr defaultRowHeight="15"/>
  <cols>
    <col min="1" max="1" width="3" customWidth="1"/>
    <col min="2" max="2" width="12.7109375" style="1" customWidth="1"/>
    <col min="3" max="3" width="9.28515625" bestFit="1" customWidth="1"/>
    <col min="4" max="9" width="24" bestFit="1" customWidth="1"/>
    <col min="10" max="10" width="16.7109375" customWidth="1"/>
    <col min="11" max="11" width="5" customWidth="1"/>
    <col min="12" max="12" width="11.42578125" bestFit="1" customWidth="1"/>
    <col min="13" max="13" width="7" customWidth="1"/>
    <col min="14" max="14" width="11.42578125" bestFit="1" customWidth="1"/>
  </cols>
  <sheetData>
    <row r="1" spans="1:10"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</row>
    <row r="2" spans="1:10">
      <c r="B2" s="7">
        <v>1993</v>
      </c>
      <c r="C2" s="7">
        <v>7</v>
      </c>
      <c r="D2" s="7">
        <v>2</v>
      </c>
      <c r="E2" s="7">
        <f t="shared" ref="E2:H9" ca="1" si="0">RANDBETWEEN(1, 10)</f>
        <v>7</v>
      </c>
      <c r="F2" s="7">
        <f t="shared" ca="1" si="0"/>
        <v>7</v>
      </c>
      <c r="G2" s="7">
        <f t="shared" ca="1" si="0"/>
        <v>4</v>
      </c>
      <c r="H2" s="7">
        <f t="shared" ca="1" si="0"/>
        <v>4</v>
      </c>
      <c r="I2" s="4" t="str">
        <f ca="1">INDEX($C$1:$H$1, MATCH(MAX(C2:H2),C2:H2, 0))</f>
        <v>Product 1</v>
      </c>
      <c r="J2" s="1"/>
    </row>
    <row r="3" spans="1:10">
      <c r="B3" s="7">
        <v>1994</v>
      </c>
      <c r="C3" s="7">
        <v>1</v>
      </c>
      <c r="D3" s="7">
        <v>1</v>
      </c>
      <c r="E3" s="7">
        <f t="shared" ca="1" si="0"/>
        <v>1</v>
      </c>
      <c r="F3" s="7">
        <f t="shared" ca="1" si="0"/>
        <v>3</v>
      </c>
      <c r="G3" s="7">
        <f t="shared" ca="1" si="0"/>
        <v>3</v>
      </c>
      <c r="H3" s="7">
        <f t="shared" ca="1" si="0"/>
        <v>9</v>
      </c>
      <c r="I3" s="4" t="str">
        <f t="shared" ref="I3:I9" ca="1" si="1">INDEX($C$1:$H$1, MATCH(MAX(C3:H3),C3:H3, 0))</f>
        <v>Product 6</v>
      </c>
      <c r="J3" s="1"/>
    </row>
    <row r="4" spans="1:10">
      <c r="B4" s="7">
        <v>1995</v>
      </c>
      <c r="C4" s="7">
        <v>7</v>
      </c>
      <c r="D4" s="7"/>
      <c r="E4" s="7">
        <f t="shared" ca="1" si="0"/>
        <v>4</v>
      </c>
      <c r="F4" s="7">
        <f t="shared" ca="1" si="0"/>
        <v>6</v>
      </c>
      <c r="G4" s="7">
        <f t="shared" ca="1" si="0"/>
        <v>7</v>
      </c>
      <c r="H4" s="7">
        <f t="shared" ca="1" si="0"/>
        <v>6</v>
      </c>
      <c r="I4" s="4" t="str">
        <f t="shared" ca="1" si="1"/>
        <v>Product 1</v>
      </c>
      <c r="J4" s="1"/>
    </row>
    <row r="5" spans="1:10">
      <c r="B5" s="7">
        <v>1996</v>
      </c>
      <c r="C5" s="7">
        <v>1</v>
      </c>
      <c r="D5" s="7">
        <v>1</v>
      </c>
      <c r="E5" s="7">
        <f t="shared" ca="1" si="0"/>
        <v>3</v>
      </c>
      <c r="F5" s="7">
        <f t="shared" ca="1" si="0"/>
        <v>7</v>
      </c>
      <c r="G5" s="7">
        <f t="shared" ca="1" si="0"/>
        <v>4</v>
      </c>
      <c r="H5" s="7">
        <f t="shared" ca="1" si="0"/>
        <v>5</v>
      </c>
      <c r="I5" s="4" t="str">
        <f t="shared" ca="1" si="1"/>
        <v>Product 4</v>
      </c>
      <c r="J5" s="1"/>
    </row>
    <row r="6" spans="1:10">
      <c r="B6" s="7">
        <v>1997</v>
      </c>
      <c r="C6" s="7">
        <v>6</v>
      </c>
      <c r="D6" s="7">
        <v>1</v>
      </c>
      <c r="E6" s="7">
        <f t="shared" ca="1" si="0"/>
        <v>1</v>
      </c>
      <c r="F6" s="7">
        <f t="shared" ca="1" si="0"/>
        <v>9</v>
      </c>
      <c r="G6" s="7">
        <f t="shared" ca="1" si="0"/>
        <v>2</v>
      </c>
      <c r="H6" s="7">
        <f t="shared" ca="1" si="0"/>
        <v>4</v>
      </c>
      <c r="I6" s="4" t="str">
        <f t="shared" ca="1" si="1"/>
        <v>Product 4</v>
      </c>
      <c r="J6" s="1"/>
    </row>
    <row r="7" spans="1:10">
      <c r="B7" s="7">
        <v>1998</v>
      </c>
      <c r="C7" s="7">
        <v>1</v>
      </c>
      <c r="D7" s="7">
        <v>1</v>
      </c>
      <c r="E7" s="7">
        <f t="shared" ca="1" si="0"/>
        <v>6</v>
      </c>
      <c r="F7" s="7">
        <f t="shared" ca="1" si="0"/>
        <v>7</v>
      </c>
      <c r="G7" s="7">
        <f t="shared" ca="1" si="0"/>
        <v>6</v>
      </c>
      <c r="H7" s="7">
        <f t="shared" ca="1" si="0"/>
        <v>9</v>
      </c>
      <c r="I7" s="4" t="str">
        <f t="shared" ca="1" si="1"/>
        <v>Product 6</v>
      </c>
      <c r="J7" s="1"/>
    </row>
    <row r="8" spans="1:10">
      <c r="B8" s="7">
        <v>1999</v>
      </c>
      <c r="C8" s="7">
        <v>9</v>
      </c>
      <c r="D8" s="7">
        <v>1</v>
      </c>
      <c r="E8" s="7">
        <f t="shared" ca="1" si="0"/>
        <v>7</v>
      </c>
      <c r="F8" s="7">
        <f t="shared" ca="1" si="0"/>
        <v>2</v>
      </c>
      <c r="G8" s="7">
        <f t="shared" ca="1" si="0"/>
        <v>8</v>
      </c>
      <c r="H8" s="7">
        <f t="shared" ca="1" si="0"/>
        <v>8</v>
      </c>
      <c r="I8" s="4" t="str">
        <f t="shared" ca="1" si="1"/>
        <v>Product 1</v>
      </c>
      <c r="J8" s="1"/>
    </row>
    <row r="9" spans="1:10">
      <c r="B9" s="7">
        <v>2000</v>
      </c>
      <c r="C9" s="7">
        <v>1</v>
      </c>
      <c r="D9" s="7">
        <v>1</v>
      </c>
      <c r="E9" s="7">
        <f t="shared" ca="1" si="0"/>
        <v>10</v>
      </c>
      <c r="F9" s="7">
        <f t="shared" ca="1" si="0"/>
        <v>4</v>
      </c>
      <c r="G9" s="7">
        <f t="shared" ca="1" si="0"/>
        <v>4</v>
      </c>
      <c r="H9" s="7">
        <f t="shared" ca="1" si="0"/>
        <v>6</v>
      </c>
      <c r="I9" s="4" t="str">
        <f t="shared" ca="1" si="1"/>
        <v>Product 3</v>
      </c>
      <c r="J9" s="1"/>
    </row>
    <row r="12" spans="1:10">
      <c r="A12" s="1"/>
      <c r="B12"/>
    </row>
    <row r="13" spans="1:10">
      <c r="A13" s="1"/>
      <c r="C13" s="3"/>
      <c r="D13" s="3"/>
      <c r="E13" s="3"/>
      <c r="F13" s="3"/>
      <c r="G13" s="3"/>
      <c r="H13" s="3"/>
    </row>
    <row r="14" spans="1:10">
      <c r="A14" s="1"/>
      <c r="C14" s="3"/>
      <c r="D14" s="3"/>
      <c r="E14" s="3"/>
      <c r="F14" s="6" t="s">
        <v>88</v>
      </c>
      <c r="G14" s="3"/>
      <c r="H14" s="3"/>
    </row>
    <row r="15" spans="1:10">
      <c r="A15" s="1"/>
      <c r="C15" s="3"/>
      <c r="D15" s="7">
        <v>7</v>
      </c>
      <c r="E15" s="7">
        <v>2</v>
      </c>
      <c r="F15" s="6">
        <f t="array" ref="F15">MATCH(1, (C2:C9=D15)*(D2:D9=E15), 0)</f>
        <v>1</v>
      </c>
      <c r="G15" s="6" t="s">
        <v>128</v>
      </c>
      <c r="H15" s="3"/>
    </row>
    <row r="16" spans="1:10">
      <c r="A16" s="1"/>
      <c r="C16" s="3"/>
      <c r="D16" s="3"/>
      <c r="E16" s="3"/>
      <c r="F16" s="3"/>
      <c r="G16" s="3"/>
      <c r="H16" s="3"/>
    </row>
    <row r="17" spans="1:9">
      <c r="A17" s="1"/>
      <c r="C17" s="3"/>
      <c r="D17" s="3"/>
      <c r="E17" s="3"/>
      <c r="F17" s="3"/>
      <c r="G17" s="3"/>
      <c r="H17" s="3"/>
    </row>
    <row r="18" spans="1:9">
      <c r="A18" s="1"/>
      <c r="C18" s="3"/>
      <c r="D18" s="3"/>
      <c r="E18" s="3"/>
      <c r="F18" s="3"/>
      <c r="G18" s="3"/>
      <c r="H18" s="3"/>
    </row>
    <row r="19" spans="1:9">
      <c r="A19" s="1"/>
      <c r="C19" s="3"/>
      <c r="D19" s="3"/>
      <c r="E19" s="3"/>
      <c r="F19" s="3"/>
      <c r="G19" s="3"/>
      <c r="H19" s="3"/>
    </row>
    <row r="20" spans="1:9">
      <c r="A20" s="1"/>
      <c r="C20" s="3"/>
      <c r="D20" s="3"/>
      <c r="E20" s="3"/>
      <c r="F20" s="3"/>
      <c r="G20" s="3"/>
      <c r="H20" s="3"/>
    </row>
    <row r="23" spans="1:9">
      <c r="D23" s="12" t="s">
        <v>129</v>
      </c>
      <c r="E23" s="12"/>
      <c r="F23" s="12"/>
      <c r="G23" s="12"/>
      <c r="H23" s="12"/>
      <c r="I23" s="12"/>
    </row>
    <row r="24" spans="1:9">
      <c r="D24" s="12"/>
      <c r="E24" s="12"/>
      <c r="F24" s="12"/>
      <c r="G24" s="12"/>
      <c r="H24" s="12"/>
      <c r="I24" s="12"/>
    </row>
    <row r="25" spans="1:9">
      <c r="D25" s="12"/>
      <c r="E25" s="12"/>
      <c r="F25" s="12"/>
      <c r="G25" s="12"/>
      <c r="H25" s="12"/>
      <c r="I25" s="12"/>
    </row>
    <row r="26" spans="1:9">
      <c r="D26" s="12"/>
      <c r="E26" s="12"/>
      <c r="F26" s="12"/>
      <c r="G26" s="12"/>
      <c r="H26" s="12"/>
      <c r="I26" s="12"/>
    </row>
    <row r="27" spans="1:9">
      <c r="D27" s="12"/>
      <c r="E27" s="12"/>
      <c r="F27" s="12"/>
      <c r="G27" s="12"/>
      <c r="H27" s="12"/>
      <c r="I27" s="12"/>
    </row>
    <row r="28" spans="1:9">
      <c r="D28" s="12"/>
      <c r="E28" s="12"/>
      <c r="F28" s="12"/>
      <c r="G28" s="12"/>
      <c r="H28" s="12"/>
      <c r="I28" s="12"/>
    </row>
    <row r="29" spans="1:9">
      <c r="D29" s="12"/>
      <c r="E29" s="12"/>
      <c r="F29" s="12"/>
      <c r="G29" s="12"/>
      <c r="H29" s="12"/>
      <c r="I29" s="12"/>
    </row>
  </sheetData>
  <mergeCells count="1">
    <mergeCell ref="D23:I29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workbookViewId="0">
      <selection activeCell="C13" sqref="C13"/>
    </sheetView>
  </sheetViews>
  <sheetFormatPr defaultRowHeight="15"/>
  <sheetData>
    <row r="1" spans="1:8">
      <c r="A1" t="s">
        <v>93</v>
      </c>
      <c r="B1" t="s">
        <v>95</v>
      </c>
    </row>
    <row r="2" spans="1:8">
      <c r="A2" t="s">
        <v>94</v>
      </c>
      <c r="B2">
        <f>INDEX(C4:H9,MATCH(A2,C4:C9,0),6)</f>
        <v>38</v>
      </c>
    </row>
    <row r="4" spans="1:8">
      <c r="A4" t="s">
        <v>0</v>
      </c>
      <c r="B4" t="s">
        <v>96</v>
      </c>
      <c r="C4" t="s">
        <v>93</v>
      </c>
      <c r="D4" t="s">
        <v>99</v>
      </c>
      <c r="E4" t="s">
        <v>100</v>
      </c>
      <c r="F4" t="s">
        <v>101</v>
      </c>
      <c r="G4" t="s">
        <v>102</v>
      </c>
      <c r="H4" t="s">
        <v>103</v>
      </c>
    </row>
    <row r="5" spans="1:8">
      <c r="A5">
        <v>2014</v>
      </c>
      <c r="B5" t="s">
        <v>97</v>
      </c>
      <c r="C5" t="s">
        <v>94</v>
      </c>
      <c r="D5">
        <v>1.5</v>
      </c>
      <c r="E5">
        <v>4</v>
      </c>
      <c r="F5">
        <v>39</v>
      </c>
      <c r="G5">
        <v>38</v>
      </c>
      <c r="H5">
        <v>38</v>
      </c>
    </row>
    <row r="6" spans="1:8">
      <c r="A6">
        <v>2014</v>
      </c>
      <c r="B6" t="s">
        <v>97</v>
      </c>
      <c r="C6" t="s">
        <v>94</v>
      </c>
      <c r="D6">
        <v>2</v>
      </c>
      <c r="E6">
        <v>4</v>
      </c>
      <c r="F6">
        <v>24</v>
      </c>
      <c r="G6">
        <v>35</v>
      </c>
      <c r="H6">
        <v>28</v>
      </c>
    </row>
    <row r="7" spans="1:8">
      <c r="A7">
        <v>2014</v>
      </c>
      <c r="B7" t="s">
        <v>97</v>
      </c>
      <c r="C7" t="s">
        <v>94</v>
      </c>
      <c r="D7">
        <v>2.4</v>
      </c>
      <c r="E7">
        <v>4</v>
      </c>
      <c r="F7">
        <v>22</v>
      </c>
      <c r="G7">
        <v>31</v>
      </c>
      <c r="H7">
        <v>25</v>
      </c>
    </row>
    <row r="8" spans="1:8">
      <c r="A8">
        <v>2014</v>
      </c>
      <c r="B8" t="s">
        <v>97</v>
      </c>
      <c r="C8" t="s">
        <v>98</v>
      </c>
      <c r="D8">
        <v>3.5</v>
      </c>
      <c r="E8">
        <v>6</v>
      </c>
      <c r="F8">
        <v>20</v>
      </c>
      <c r="G8">
        <v>28</v>
      </c>
      <c r="H8">
        <v>23</v>
      </c>
    </row>
    <row r="9" spans="1:8">
      <c r="A9">
        <v>2014</v>
      </c>
      <c r="B9" t="s">
        <v>97</v>
      </c>
      <c r="C9" t="s">
        <v>98</v>
      </c>
      <c r="D9">
        <v>3.5</v>
      </c>
      <c r="E9">
        <v>6</v>
      </c>
      <c r="F9">
        <v>18</v>
      </c>
      <c r="G9">
        <v>27</v>
      </c>
      <c r="H9">
        <v>21</v>
      </c>
    </row>
    <row r="12" spans="1:8">
      <c r="A12" t="s">
        <v>93</v>
      </c>
      <c r="B12" t="s">
        <v>99</v>
      </c>
      <c r="C12" t="s">
        <v>103</v>
      </c>
    </row>
    <row r="13" spans="1:8">
      <c r="A13" t="s">
        <v>94</v>
      </c>
      <c r="B13">
        <v>2.4</v>
      </c>
      <c r="C13">
        <f t="array" ref="C13">INDEX(C4:H9,MATCH(1,(C4:C9=A13)*(D4:D9=B13),0),6)</f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C18"/>
  <sheetViews>
    <sheetView workbookViewId="0">
      <selection activeCell="B11" sqref="B11"/>
    </sheetView>
  </sheetViews>
  <sheetFormatPr defaultRowHeight="15"/>
  <sheetData>
    <row r="2" spans="1:3">
      <c r="A2" t="s">
        <v>89</v>
      </c>
      <c r="B2">
        <v>10</v>
      </c>
      <c r="C2">
        <f>COUNTIF($A$2:$A$8, A2)</f>
        <v>2</v>
      </c>
    </row>
    <row r="3" spans="1:3">
      <c r="A3" t="s">
        <v>90</v>
      </c>
      <c r="B3">
        <v>12</v>
      </c>
      <c r="C3">
        <f t="shared" ref="C3:C8" si="0">COUNTIF($A$2:$A$8, A3)</f>
        <v>3</v>
      </c>
    </row>
    <row r="4" spans="1:3">
      <c r="A4" t="s">
        <v>91</v>
      </c>
      <c r="B4">
        <v>14</v>
      </c>
      <c r="C4">
        <f t="shared" si="0"/>
        <v>1</v>
      </c>
    </row>
    <row r="5" spans="1:3">
      <c r="A5" t="s">
        <v>92</v>
      </c>
      <c r="B5">
        <v>18</v>
      </c>
      <c r="C5">
        <f t="shared" si="0"/>
        <v>1</v>
      </c>
    </row>
    <row r="6" spans="1:3">
      <c r="A6" t="s">
        <v>90</v>
      </c>
      <c r="B6">
        <v>19</v>
      </c>
      <c r="C6">
        <f t="shared" si="0"/>
        <v>3</v>
      </c>
    </row>
    <row r="7" spans="1:3">
      <c r="A7" t="s">
        <v>89</v>
      </c>
      <c r="B7">
        <v>16</v>
      </c>
      <c r="C7">
        <f t="shared" si="0"/>
        <v>2</v>
      </c>
    </row>
    <row r="8" spans="1:3">
      <c r="A8" t="s">
        <v>90</v>
      </c>
      <c r="B8">
        <v>11</v>
      </c>
      <c r="C8">
        <f t="shared" si="0"/>
        <v>3</v>
      </c>
    </row>
    <row r="11" spans="1:3">
      <c r="A11" t="s">
        <v>90</v>
      </c>
      <c r="B11">
        <f t="array" ref="B11">INDEX($B$2:$B$8, SMALL(IF($A$11=$A$2:$A$8, ROW($A$2:$A$8)-ROW($A$2)+1), ROW(1:1)))</f>
        <v>12</v>
      </c>
    </row>
    <row r="12" spans="1:3">
      <c r="B12">
        <f t="array" ref="B12">INDEX($B$2:$B$8, SMALL(IF($A$11=$A$2:$A$8, ROW($A$2:$A$8)-ROW($A$2)+1), ROW(2:2)))</f>
        <v>19</v>
      </c>
    </row>
    <row r="13" spans="1:3">
      <c r="B13">
        <f t="array" ref="B13">INDEX($B$2:$B$8, SMALL(IF($A$11=$A$2:$A$8, ROW($A$2:$A$8)-ROW($A$2)+1), ROW(3:3)))</f>
        <v>11</v>
      </c>
    </row>
    <row r="14" spans="1:3">
      <c r="B14" t="e">
        <f t="array" ref="B14">INDEX($B$2:$B$8, SMALL(IF($A$11=$A$2:$A$8, ROW($A$2:$A$8)-ROW($A$2)+1), ROW(4:4)))</f>
        <v>#NUM!</v>
      </c>
    </row>
    <row r="15" spans="1:3">
      <c r="B15" t="e">
        <f t="array" ref="B15">INDEX($B$2:$B$8, SMALL(IF($A$11=$A$2:$A$8, ROW($A$2:$A$8)-ROW($A$2)+1), ROW(5:5)))</f>
        <v>#NUM!</v>
      </c>
    </row>
    <row r="16" spans="1:3">
      <c r="B16" t="e">
        <f t="array" ref="B16">INDEX($B$2:$B$8, SMALL(IF($A$11=$A$2:$A$8, ROW($A$2:$A$8)-ROW($A$2)+1), ROW(6:6)))</f>
        <v>#NUM!</v>
      </c>
    </row>
    <row r="17" spans="2:2">
      <c r="B17" t="e">
        <f t="array" ref="B17">INDEX($B$2:$B$8, SMALL(IF($A$11=$A$2:$A$8, ROW($A$2:$A$8)-ROW($A$2)+1), ROW(7:7)))</f>
        <v>#NUM!</v>
      </c>
    </row>
    <row r="18" spans="2:2">
      <c r="B18" t="e">
        <f t="array" ref="B18">INDEX($B$2:$B$8, SMALL(IF($A$11=$A$2:$A$8, ROW($A$2:$A$8)-ROW($A$2)+1), ROW(8:8)))</f>
        <v>#NUM!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0"/>
  <sheetViews>
    <sheetView zoomScaleNormal="100" workbookViewId="0">
      <selection activeCell="F35" sqref="F35"/>
    </sheetView>
  </sheetViews>
  <sheetFormatPr defaultRowHeight="15"/>
  <cols>
    <col min="1" max="2" width="24" bestFit="1" customWidth="1"/>
    <col min="3" max="3" width="23" bestFit="1" customWidth="1"/>
    <col min="4" max="5" width="24" bestFit="1" customWidth="1"/>
    <col min="6" max="6" width="23" bestFit="1" customWidth="1"/>
    <col min="8" max="8" width="32.5703125" customWidth="1"/>
  </cols>
  <sheetData>
    <row r="1" spans="1:8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H1" s="5">
        <f ca="1">OFFSET($A$1,
MOD(ROW()-ROW($F$1),ROWS($A$1:$A$8)),
TRUNC((ROW()-ROW($F$1))/ROWS($A$1:$A$8)),1,1)</f>
        <v>1</v>
      </c>
    </row>
    <row r="2" spans="1:8">
      <c r="A2">
        <v>7</v>
      </c>
      <c r="B2">
        <v>8</v>
      </c>
      <c r="C2">
        <v>9</v>
      </c>
      <c r="D2">
        <v>10</v>
      </c>
      <c r="E2">
        <v>11</v>
      </c>
      <c r="F2">
        <v>12</v>
      </c>
      <c r="H2">
        <f t="shared" ref="H2:H48" ca="1" si="0">OFFSET($A$1,
MOD(ROW()-ROW($F$1),ROWS($A$1:$A$8)),
TRUNC((ROW()-ROW($F$1))/ROWS($A$1:$A$8)),1,1)</f>
        <v>7</v>
      </c>
    </row>
    <row r="3" spans="1:8">
      <c r="A3">
        <v>13</v>
      </c>
      <c r="B3">
        <v>14</v>
      </c>
      <c r="C3">
        <v>15</v>
      </c>
      <c r="D3">
        <v>16</v>
      </c>
      <c r="E3">
        <v>17</v>
      </c>
      <c r="F3">
        <v>18</v>
      </c>
      <c r="H3">
        <f t="shared" ca="1" si="0"/>
        <v>13</v>
      </c>
    </row>
    <row r="4" spans="1:8">
      <c r="A4">
        <v>19</v>
      </c>
      <c r="B4">
        <v>20</v>
      </c>
      <c r="C4">
        <v>21</v>
      </c>
      <c r="D4">
        <v>22</v>
      </c>
      <c r="E4">
        <v>23</v>
      </c>
      <c r="F4">
        <v>24</v>
      </c>
      <c r="H4">
        <f t="shared" ca="1" si="0"/>
        <v>19</v>
      </c>
    </row>
    <row r="5" spans="1:8">
      <c r="A5">
        <v>25</v>
      </c>
      <c r="B5">
        <v>26</v>
      </c>
      <c r="C5">
        <v>27</v>
      </c>
      <c r="D5">
        <v>28</v>
      </c>
      <c r="E5">
        <v>29</v>
      </c>
      <c r="F5">
        <v>30</v>
      </c>
      <c r="H5">
        <f t="shared" ca="1" si="0"/>
        <v>25</v>
      </c>
    </row>
    <row r="6" spans="1:8">
      <c r="A6">
        <v>31</v>
      </c>
      <c r="B6">
        <v>32</v>
      </c>
      <c r="C6">
        <v>33</v>
      </c>
      <c r="D6">
        <v>34</v>
      </c>
      <c r="E6">
        <v>35</v>
      </c>
      <c r="F6">
        <v>36</v>
      </c>
      <c r="H6">
        <f t="shared" ca="1" si="0"/>
        <v>31</v>
      </c>
    </row>
    <row r="7" spans="1:8">
      <c r="A7">
        <v>37</v>
      </c>
      <c r="B7">
        <v>38</v>
      </c>
      <c r="C7">
        <v>39</v>
      </c>
      <c r="D7">
        <v>40</v>
      </c>
      <c r="E7">
        <v>41</v>
      </c>
      <c r="F7">
        <v>42</v>
      </c>
      <c r="H7">
        <f t="shared" ca="1" si="0"/>
        <v>37</v>
      </c>
    </row>
    <row r="8" spans="1:8">
      <c r="A8">
        <v>43</v>
      </c>
      <c r="B8">
        <v>44</v>
      </c>
      <c r="C8">
        <v>45</v>
      </c>
      <c r="D8">
        <v>46</v>
      </c>
      <c r="E8">
        <v>47</v>
      </c>
      <c r="F8">
        <v>48</v>
      </c>
      <c r="H8">
        <f t="shared" ca="1" si="0"/>
        <v>43</v>
      </c>
    </row>
    <row r="9" spans="1:8">
      <c r="H9">
        <f t="shared" ca="1" si="0"/>
        <v>2</v>
      </c>
    </row>
    <row r="10" spans="1:8">
      <c r="H10">
        <f t="shared" ca="1" si="0"/>
        <v>8</v>
      </c>
    </row>
    <row r="11" spans="1:8">
      <c r="H11">
        <f t="shared" ca="1" si="0"/>
        <v>14</v>
      </c>
    </row>
    <row r="12" spans="1:8">
      <c r="H12">
        <f t="shared" ca="1" si="0"/>
        <v>20</v>
      </c>
    </row>
    <row r="13" spans="1:8">
      <c r="H13">
        <f t="shared" ca="1" si="0"/>
        <v>26</v>
      </c>
    </row>
    <row r="14" spans="1:8">
      <c r="H14">
        <f t="shared" ca="1" si="0"/>
        <v>32</v>
      </c>
    </row>
    <row r="15" spans="1:8">
      <c r="H15">
        <f t="shared" ca="1" si="0"/>
        <v>38</v>
      </c>
    </row>
    <row r="16" spans="1:8">
      <c r="H16">
        <f t="shared" ca="1" si="0"/>
        <v>44</v>
      </c>
    </row>
    <row r="17" spans="8:8">
      <c r="H17">
        <f t="shared" ca="1" si="0"/>
        <v>3</v>
      </c>
    </row>
    <row r="18" spans="8:8">
      <c r="H18">
        <f t="shared" ca="1" si="0"/>
        <v>9</v>
      </c>
    </row>
    <row r="19" spans="8:8">
      <c r="H19">
        <f t="shared" ca="1" si="0"/>
        <v>15</v>
      </c>
    </row>
    <row r="20" spans="8:8">
      <c r="H20">
        <f t="shared" ca="1" si="0"/>
        <v>21</v>
      </c>
    </row>
    <row r="21" spans="8:8">
      <c r="H21">
        <f t="shared" ca="1" si="0"/>
        <v>27</v>
      </c>
    </row>
    <row r="22" spans="8:8">
      <c r="H22">
        <f t="shared" ca="1" si="0"/>
        <v>33</v>
      </c>
    </row>
    <row r="23" spans="8:8">
      <c r="H23">
        <f t="shared" ca="1" si="0"/>
        <v>39</v>
      </c>
    </row>
    <row r="24" spans="8:8">
      <c r="H24">
        <f t="shared" ca="1" si="0"/>
        <v>45</v>
      </c>
    </row>
    <row r="25" spans="8:8">
      <c r="H25">
        <f t="shared" ca="1" si="0"/>
        <v>4</v>
      </c>
    </row>
    <row r="26" spans="8:8">
      <c r="H26">
        <f t="shared" ca="1" si="0"/>
        <v>10</v>
      </c>
    </row>
    <row r="27" spans="8:8">
      <c r="H27">
        <f t="shared" ca="1" si="0"/>
        <v>16</v>
      </c>
    </row>
    <row r="28" spans="8:8">
      <c r="H28">
        <f t="shared" ca="1" si="0"/>
        <v>22</v>
      </c>
    </row>
    <row r="29" spans="8:8">
      <c r="H29">
        <f t="shared" ca="1" si="0"/>
        <v>28</v>
      </c>
    </row>
    <row r="30" spans="8:8">
      <c r="H30">
        <f t="shared" ca="1" si="0"/>
        <v>34</v>
      </c>
    </row>
    <row r="31" spans="8:8">
      <c r="H31">
        <f t="shared" ca="1" si="0"/>
        <v>40</v>
      </c>
    </row>
    <row r="32" spans="8:8">
      <c r="H32">
        <f t="shared" ca="1" si="0"/>
        <v>46</v>
      </c>
    </row>
    <row r="33" spans="8:8">
      <c r="H33">
        <f t="shared" ca="1" si="0"/>
        <v>5</v>
      </c>
    </row>
    <row r="34" spans="8:8">
      <c r="H34">
        <f t="shared" ca="1" si="0"/>
        <v>11</v>
      </c>
    </row>
    <row r="35" spans="8:8">
      <c r="H35">
        <f t="shared" ca="1" si="0"/>
        <v>17</v>
      </c>
    </row>
    <row r="36" spans="8:8">
      <c r="H36">
        <f t="shared" ca="1" si="0"/>
        <v>23</v>
      </c>
    </row>
    <row r="37" spans="8:8">
      <c r="H37">
        <f t="shared" ca="1" si="0"/>
        <v>29</v>
      </c>
    </row>
    <row r="38" spans="8:8">
      <c r="H38">
        <f t="shared" ca="1" si="0"/>
        <v>35</v>
      </c>
    </row>
    <row r="39" spans="8:8">
      <c r="H39">
        <f t="shared" ca="1" si="0"/>
        <v>41</v>
      </c>
    </row>
    <row r="40" spans="8:8">
      <c r="H40">
        <f t="shared" ca="1" si="0"/>
        <v>47</v>
      </c>
    </row>
    <row r="41" spans="8:8">
      <c r="H41">
        <f t="shared" ca="1" si="0"/>
        <v>6</v>
      </c>
    </row>
    <row r="42" spans="8:8">
      <c r="H42">
        <f t="shared" ca="1" si="0"/>
        <v>12</v>
      </c>
    </row>
    <row r="43" spans="8:8">
      <c r="H43">
        <f t="shared" ca="1" si="0"/>
        <v>18</v>
      </c>
    </row>
    <row r="44" spans="8:8">
      <c r="H44">
        <f t="shared" ca="1" si="0"/>
        <v>24</v>
      </c>
    </row>
    <row r="45" spans="8:8">
      <c r="H45">
        <f t="shared" ca="1" si="0"/>
        <v>30</v>
      </c>
    </row>
    <row r="46" spans="8:8">
      <c r="H46">
        <f t="shared" ca="1" si="0"/>
        <v>36</v>
      </c>
    </row>
    <row r="47" spans="8:8">
      <c r="H47">
        <f t="shared" ca="1" si="0"/>
        <v>42</v>
      </c>
    </row>
    <row r="48" spans="8:8">
      <c r="H48">
        <f t="shared" ca="1" si="0"/>
        <v>48</v>
      </c>
    </row>
    <row r="50" spans="1:4">
      <c r="A50" s="4"/>
      <c r="B50" s="4"/>
      <c r="C50" s="4"/>
      <c r="D50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5"/>
  <sheetViews>
    <sheetView zoomScale="85" zoomScaleNormal="85" workbookViewId="0">
      <selection activeCell="O43" sqref="O43"/>
    </sheetView>
  </sheetViews>
  <sheetFormatPr defaultRowHeight="15"/>
  <cols>
    <col min="1" max="1" width="9" bestFit="1" customWidth="1"/>
    <col min="2" max="3" width="20.7109375" bestFit="1" customWidth="1"/>
    <col min="4" max="4" width="8.28515625" bestFit="1" customWidth="1"/>
    <col min="5" max="5" width="6.85546875" bestFit="1" customWidth="1"/>
    <col min="6" max="6" width="8.28515625" bestFit="1" customWidth="1"/>
    <col min="7" max="8" width="8.5703125" bestFit="1" customWidth="1"/>
    <col min="9" max="9" width="5" bestFit="1" customWidth="1"/>
    <col min="10" max="10" width="7" bestFit="1" customWidth="1"/>
    <col min="11" max="11" width="17" bestFit="1" customWidth="1"/>
    <col min="12" max="12" width="8.85546875" bestFit="1" customWidth="1"/>
  </cols>
  <sheetData>
    <row r="1" spans="1:8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s="5" t="s">
        <v>25</v>
      </c>
    </row>
    <row r="2" spans="1:8">
      <c r="A2" t="s">
        <v>43</v>
      </c>
      <c r="B2" t="s">
        <v>27</v>
      </c>
      <c r="C2" t="s">
        <v>28</v>
      </c>
      <c r="D2" t="s">
        <v>29</v>
      </c>
      <c r="E2" s="2">
        <v>1992</v>
      </c>
      <c r="F2" s="2">
        <v>10</v>
      </c>
      <c r="G2" s="2">
        <v>11.07</v>
      </c>
      <c r="H2" s="2">
        <v>1.07</v>
      </c>
    </row>
    <row r="3" spans="1:8">
      <c r="A3" t="s">
        <v>26</v>
      </c>
      <c r="B3" t="s">
        <v>27</v>
      </c>
      <c r="C3" t="s">
        <v>28</v>
      </c>
      <c r="D3" t="s">
        <v>29</v>
      </c>
      <c r="E3" s="2">
        <v>1992</v>
      </c>
      <c r="F3" s="2">
        <v>50.6</v>
      </c>
      <c r="G3" s="2">
        <v>58.582999999999998</v>
      </c>
      <c r="H3" s="2">
        <v>7.9829999999999997</v>
      </c>
    </row>
    <row r="4" spans="1:8">
      <c r="A4" t="s">
        <v>30</v>
      </c>
      <c r="B4" t="s">
        <v>27</v>
      </c>
      <c r="C4" t="s">
        <v>28</v>
      </c>
      <c r="D4" t="s">
        <v>29</v>
      </c>
      <c r="E4" s="2">
        <v>1993</v>
      </c>
      <c r="F4" s="2">
        <v>24.524000000000001</v>
      </c>
      <c r="G4" s="2">
        <v>26.3</v>
      </c>
      <c r="H4" s="2">
        <v>1.776</v>
      </c>
    </row>
    <row r="5" spans="1:8">
      <c r="A5" t="s">
        <v>31</v>
      </c>
      <c r="B5" t="s">
        <v>32</v>
      </c>
      <c r="C5" t="s">
        <v>28</v>
      </c>
      <c r="D5" t="s">
        <v>29</v>
      </c>
      <c r="E5" s="2">
        <v>2000</v>
      </c>
      <c r="F5" s="2">
        <v>50.6</v>
      </c>
      <c r="G5" s="2">
        <v>58.582999999999998</v>
      </c>
      <c r="H5" s="2">
        <v>7.9829999999999997</v>
      </c>
    </row>
    <row r="6" spans="1:8">
      <c r="A6" t="s">
        <v>44</v>
      </c>
      <c r="B6" t="s">
        <v>36</v>
      </c>
      <c r="C6" t="s">
        <v>28</v>
      </c>
      <c r="D6" t="s">
        <v>29</v>
      </c>
      <c r="E6" s="2">
        <v>2001</v>
      </c>
      <c r="F6" s="2">
        <v>0</v>
      </c>
      <c r="G6" s="2">
        <v>8.1999999999999993</v>
      </c>
      <c r="H6" s="2">
        <v>8.1999999999999993</v>
      </c>
    </row>
    <row r="7" spans="1:8">
      <c r="A7" t="s">
        <v>45</v>
      </c>
      <c r="B7" t="s">
        <v>27</v>
      </c>
      <c r="C7" t="s">
        <v>28</v>
      </c>
      <c r="D7" t="s">
        <v>29</v>
      </c>
      <c r="E7" s="2">
        <v>2001</v>
      </c>
      <c r="F7" s="2">
        <v>8.1999999999999993</v>
      </c>
      <c r="G7" s="2">
        <v>12.486000000000001</v>
      </c>
      <c r="H7" s="2">
        <v>4.2859999999999996</v>
      </c>
    </row>
    <row r="8" spans="1:8">
      <c r="A8" t="s">
        <v>33</v>
      </c>
      <c r="B8" t="s">
        <v>34</v>
      </c>
      <c r="C8" t="s">
        <v>28</v>
      </c>
      <c r="D8" t="s">
        <v>29</v>
      </c>
      <c r="E8" s="2">
        <v>2001</v>
      </c>
      <c r="F8" s="2">
        <v>35.5</v>
      </c>
      <c r="G8" s="2">
        <v>39.5</v>
      </c>
      <c r="H8" s="2">
        <v>4</v>
      </c>
    </row>
    <row r="9" spans="1:8">
      <c r="A9" t="s">
        <v>33</v>
      </c>
      <c r="B9" t="s">
        <v>34</v>
      </c>
      <c r="C9" t="s">
        <v>28</v>
      </c>
      <c r="D9" t="s">
        <v>29</v>
      </c>
      <c r="E9" s="2">
        <v>2001</v>
      </c>
      <c r="F9" s="2">
        <v>39.5</v>
      </c>
      <c r="G9" s="2">
        <v>42</v>
      </c>
      <c r="H9" s="2">
        <v>2.5</v>
      </c>
    </row>
    <row r="10" spans="1:8">
      <c r="A10" t="s">
        <v>33</v>
      </c>
      <c r="B10" t="s">
        <v>34</v>
      </c>
      <c r="C10" t="s">
        <v>28</v>
      </c>
      <c r="D10" t="s">
        <v>29</v>
      </c>
      <c r="E10" s="2">
        <v>2001</v>
      </c>
      <c r="F10" s="2">
        <v>42</v>
      </c>
      <c r="G10" s="2">
        <v>43</v>
      </c>
      <c r="H10" s="2">
        <v>1</v>
      </c>
    </row>
    <row r="11" spans="1:8">
      <c r="A11" t="s">
        <v>33</v>
      </c>
      <c r="B11" t="s">
        <v>36</v>
      </c>
      <c r="C11" t="s">
        <v>28</v>
      </c>
      <c r="D11" t="s">
        <v>29</v>
      </c>
      <c r="E11" s="2">
        <v>2001</v>
      </c>
      <c r="F11" s="2">
        <v>43</v>
      </c>
      <c r="G11" s="2">
        <v>48</v>
      </c>
      <c r="H11" s="2">
        <v>5</v>
      </c>
    </row>
    <row r="12" spans="1:8">
      <c r="A12" t="s">
        <v>33</v>
      </c>
      <c r="B12" t="s">
        <v>34</v>
      </c>
      <c r="C12" t="s">
        <v>28</v>
      </c>
      <c r="D12" t="s">
        <v>29</v>
      </c>
      <c r="E12" s="2">
        <v>2001</v>
      </c>
      <c r="F12" s="2">
        <v>48</v>
      </c>
      <c r="G12" s="2">
        <v>50.6</v>
      </c>
      <c r="H12" s="2">
        <v>2.6</v>
      </c>
    </row>
    <row r="13" spans="1:8">
      <c r="A13" t="s">
        <v>35</v>
      </c>
      <c r="B13" t="s">
        <v>36</v>
      </c>
      <c r="C13" t="s">
        <v>28</v>
      </c>
      <c r="D13" t="s">
        <v>29</v>
      </c>
      <c r="E13" s="2">
        <v>2004</v>
      </c>
      <c r="F13" s="2">
        <v>16.100000000000001</v>
      </c>
      <c r="G13" s="2">
        <v>19.715</v>
      </c>
      <c r="H13" s="2">
        <v>3.6150000000000002</v>
      </c>
    </row>
    <row r="14" spans="1:8">
      <c r="A14" t="s">
        <v>37</v>
      </c>
      <c r="B14" t="s">
        <v>38</v>
      </c>
      <c r="C14" t="s">
        <v>28</v>
      </c>
      <c r="D14" t="s">
        <v>29</v>
      </c>
      <c r="E14" s="2">
        <v>2005</v>
      </c>
      <c r="F14" s="2">
        <v>19.885000000000002</v>
      </c>
      <c r="G14" s="2">
        <v>25</v>
      </c>
      <c r="H14" s="2">
        <v>5.1150000000000002</v>
      </c>
    </row>
    <row r="15" spans="1:8">
      <c r="A15" t="s">
        <v>39</v>
      </c>
      <c r="B15" t="s">
        <v>38</v>
      </c>
      <c r="C15" t="s">
        <v>28</v>
      </c>
      <c r="D15" t="s">
        <v>29</v>
      </c>
      <c r="E15" s="2">
        <v>2006</v>
      </c>
      <c r="F15" s="2">
        <v>50.6</v>
      </c>
      <c r="G15" s="2">
        <v>58.582999999999998</v>
      </c>
      <c r="H15" s="2">
        <v>7.9829999999999997</v>
      </c>
    </row>
    <row r="16" spans="1:8">
      <c r="A16" t="s">
        <v>46</v>
      </c>
      <c r="B16" t="s">
        <v>27</v>
      </c>
      <c r="C16" t="s">
        <v>28</v>
      </c>
      <c r="D16" t="s">
        <v>29</v>
      </c>
      <c r="E16" s="2">
        <v>2009</v>
      </c>
      <c r="F16" s="2">
        <v>19.885000000000002</v>
      </c>
      <c r="G16" s="2">
        <v>24.504000000000001</v>
      </c>
      <c r="H16" s="2">
        <v>4.6189999999999998</v>
      </c>
    </row>
    <row r="17" spans="1:12">
      <c r="A17" t="s">
        <v>40</v>
      </c>
      <c r="B17" t="s">
        <v>38</v>
      </c>
      <c r="C17" t="s">
        <v>28</v>
      </c>
      <c r="D17" t="s">
        <v>29</v>
      </c>
      <c r="E17" s="2">
        <v>2009</v>
      </c>
      <c r="F17" s="2">
        <v>50.6</v>
      </c>
      <c r="G17" s="2">
        <v>58.582999999999998</v>
      </c>
      <c r="H17" s="2">
        <v>7.9829999999999997</v>
      </c>
    </row>
    <row r="18" spans="1:12">
      <c r="A18" t="s">
        <v>47</v>
      </c>
      <c r="B18" t="s">
        <v>36</v>
      </c>
      <c r="C18" t="s">
        <v>28</v>
      </c>
      <c r="D18" t="s">
        <v>29</v>
      </c>
      <c r="E18" s="2">
        <v>2010</v>
      </c>
      <c r="F18" s="2">
        <v>16.2</v>
      </c>
      <c r="G18" s="2">
        <v>16.3</v>
      </c>
      <c r="H18" s="2">
        <v>0.1</v>
      </c>
    </row>
    <row r="19" spans="1:12">
      <c r="A19" t="s">
        <v>47</v>
      </c>
      <c r="B19" t="s">
        <v>36</v>
      </c>
      <c r="C19" t="s">
        <v>28</v>
      </c>
      <c r="D19" t="s">
        <v>29</v>
      </c>
      <c r="E19" s="2">
        <v>2010</v>
      </c>
      <c r="F19" s="2">
        <v>16.3</v>
      </c>
      <c r="G19" s="2">
        <v>16.399999999999999</v>
      </c>
      <c r="H19" s="2">
        <v>0.1</v>
      </c>
    </row>
    <row r="20" spans="1:12">
      <c r="A20" t="s">
        <v>41</v>
      </c>
      <c r="B20" t="s">
        <v>27</v>
      </c>
      <c r="C20" t="s">
        <v>28</v>
      </c>
      <c r="D20" t="s">
        <v>29</v>
      </c>
      <c r="E20" s="2">
        <v>2010</v>
      </c>
      <c r="F20" s="2">
        <v>50.6</v>
      </c>
      <c r="G20" s="2">
        <v>58.582999999999998</v>
      </c>
      <c r="H20" s="2">
        <v>7.9829999999999997</v>
      </c>
    </row>
    <row r="21" spans="1:12">
      <c r="A21" t="s">
        <v>42</v>
      </c>
      <c r="B21" t="s">
        <v>38</v>
      </c>
      <c r="C21" t="s">
        <v>28</v>
      </c>
      <c r="D21" t="s">
        <v>29</v>
      </c>
      <c r="E21" s="2">
        <v>2012</v>
      </c>
      <c r="F21" s="2">
        <v>30.5</v>
      </c>
      <c r="G21" s="2">
        <v>35.5</v>
      </c>
      <c r="H21" s="2">
        <v>5</v>
      </c>
    </row>
    <row r="22" spans="1:12">
      <c r="A22" t="s">
        <v>42</v>
      </c>
      <c r="B22" t="s">
        <v>27</v>
      </c>
      <c r="C22" t="s">
        <v>28</v>
      </c>
      <c r="D22" t="s">
        <v>29</v>
      </c>
      <c r="E22" s="2">
        <v>2012</v>
      </c>
      <c r="F22" s="2">
        <v>30.5</v>
      </c>
      <c r="G22" s="2">
        <v>50.6</v>
      </c>
      <c r="H22" s="2">
        <v>20.100000000000001</v>
      </c>
    </row>
    <row r="24" spans="1:12">
      <c r="A24" s="5" t="s">
        <v>25</v>
      </c>
      <c r="B24" t="s">
        <v>18</v>
      </c>
      <c r="C24" t="s">
        <v>19</v>
      </c>
      <c r="D24" t="s">
        <v>20</v>
      </c>
      <c r="E24" t="s">
        <v>21</v>
      </c>
      <c r="F24" t="s">
        <v>22</v>
      </c>
      <c r="G24" t="s">
        <v>23</v>
      </c>
      <c r="H24" t="s">
        <v>24</v>
      </c>
      <c r="I24">
        <v>1992</v>
      </c>
      <c r="J24">
        <v>10</v>
      </c>
      <c r="K24" t="e">
        <f t="array" ref="K24">INDEX($C$25:$C$45, MATCH(1,( $A$25:$A$45=J24)*($F$25:$F$45=I24), 0))</f>
        <v>#N/A</v>
      </c>
      <c r="L24" t="str">
        <f t="array" ref="L24">IF(ISERROR(INDEX($B$25:$B$45,MATCH(1,($A$25:$A$45=J24)*($F$25:$F$45=I24),0))),"",INDEX($B$25:$B$45,MATCH(1,($A$25:$A$45=J24)*($F$25:$F$45=I24),0)))</f>
        <v/>
      </c>
    </row>
    <row r="25" spans="1:12">
      <c r="A25" s="2">
        <v>1.07</v>
      </c>
      <c r="B25" t="s">
        <v>43</v>
      </c>
      <c r="C25" t="s">
        <v>27</v>
      </c>
      <c r="D25" t="s">
        <v>28</v>
      </c>
      <c r="E25" t="s">
        <v>29</v>
      </c>
      <c r="F25" s="2">
        <v>1992</v>
      </c>
      <c r="G25" s="2">
        <v>10</v>
      </c>
      <c r="H25" s="2">
        <v>11.07</v>
      </c>
      <c r="I25">
        <v>1992</v>
      </c>
      <c r="J25">
        <v>1.07</v>
      </c>
      <c r="K25" t="str">
        <f t="array" ref="K25">INDEX($C$25:$C$45, MATCH(1,( $A$25:$A$45=J25)*($F$25:$F$45=I25), 0))</f>
        <v>HMA Thin Overlay</v>
      </c>
      <c r="L25" t="str">
        <f t="array" ref="L25">IF(ISERROR(INDEX($B$25:$B$45,MATCH(1,($A$25:$A$45=J25)*($F$25:$F$45=I25),0))),"",INDEX($B$25:$B$45,MATCH(1,($A$25:$A$45=J25)*($F$25:$F$45=I25),0)))</f>
        <v>04-19246</v>
      </c>
    </row>
    <row r="26" spans="1:12">
      <c r="A26" s="2">
        <v>7.9829999999999997</v>
      </c>
      <c r="B26" t="s">
        <v>26</v>
      </c>
      <c r="C26" t="s">
        <v>27</v>
      </c>
      <c r="D26" t="s">
        <v>28</v>
      </c>
      <c r="E26" t="s">
        <v>29</v>
      </c>
      <c r="F26" s="2">
        <v>1992</v>
      </c>
      <c r="G26" s="2">
        <v>50.6</v>
      </c>
      <c r="H26" s="2">
        <v>58.582999999999998</v>
      </c>
      <c r="I26">
        <v>1992</v>
      </c>
      <c r="J26">
        <v>39.53</v>
      </c>
      <c r="K26" t="e">
        <f t="array" ref="K26">INDEX($C$25:$C$45, MATCH(1,( $A$25:$A$45=J26)*($F$25:$F$45=I26), 0))</f>
        <v>#N/A</v>
      </c>
      <c r="L26" t="str">
        <f t="array" ref="L26">IF(ISERROR(INDEX($B$25:$B$45,MATCH(1,($A$25:$A$45=J26)*($F$25:$F$45=I26),0))),"",INDEX($B$25:$B$45,MATCH(1,($A$25:$A$45=J26)*($F$25:$F$45=I26),0)))</f>
        <v/>
      </c>
    </row>
    <row r="27" spans="1:12">
      <c r="A27">
        <v>1.776</v>
      </c>
      <c r="B27" t="s">
        <v>30</v>
      </c>
      <c r="C27" t="s">
        <v>27</v>
      </c>
      <c r="D27" t="s">
        <v>28</v>
      </c>
      <c r="E27" t="s">
        <v>29</v>
      </c>
      <c r="F27" s="2">
        <v>1993</v>
      </c>
      <c r="G27" s="2">
        <v>24.524000000000001</v>
      </c>
      <c r="H27" s="2">
        <v>26.3</v>
      </c>
      <c r="I27">
        <v>1992</v>
      </c>
      <c r="J27">
        <v>7.9829999999999997</v>
      </c>
      <c r="K27" t="str">
        <f t="array" ref="K27">INDEX($C$25:$C$45, MATCH(1,( $A$25:$A$45=J27)*($F$25:$F$45=I27), 0))</f>
        <v>HMA Thin Overlay</v>
      </c>
      <c r="L27" t="str">
        <f t="array" ref="L27">IF(ISERROR(INDEX($B$25:$B$45,MATCH(1,($A$25:$A$45=J27)*($F$25:$F$45=I27),0))),"",INDEX($B$25:$B$45,MATCH(1,($A$25:$A$45=J27)*($F$25:$F$45=I27),0)))</f>
        <v>04-18973</v>
      </c>
    </row>
    <row r="28" spans="1:12">
      <c r="A28" s="2">
        <v>7.9829999999999997</v>
      </c>
      <c r="B28" t="s">
        <v>31</v>
      </c>
      <c r="C28" t="s">
        <v>32</v>
      </c>
      <c r="D28" t="s">
        <v>28</v>
      </c>
      <c r="E28" t="s">
        <v>29</v>
      </c>
      <c r="F28" s="2">
        <v>2000</v>
      </c>
      <c r="G28" s="2">
        <v>50.6</v>
      </c>
      <c r="H28" s="2">
        <v>58.582999999999998</v>
      </c>
      <c r="I28">
        <v>1993</v>
      </c>
      <c r="J28">
        <v>24.524000000000001</v>
      </c>
      <c r="K28" t="e">
        <f t="array" ref="K28">INDEX($C$25:$C$45, MATCH(1,( $A$25:$A$45=J28)*($F$25:$F$45=I28), 0))</f>
        <v>#N/A</v>
      </c>
      <c r="L28" t="str">
        <f t="array" ref="L28">IF(ISERROR(INDEX($B$25:$B$45,MATCH(1,($A$25:$A$45=J28)*($F$25:$F$45=I28),0))),"",INDEX($B$25:$B$45,MATCH(1,($A$25:$A$45=J28)*($F$25:$F$45=I28),0)))</f>
        <v/>
      </c>
    </row>
    <row r="29" spans="1:12">
      <c r="A29" s="2">
        <v>8.1999999999999993</v>
      </c>
      <c r="B29" t="s">
        <v>44</v>
      </c>
      <c r="C29" t="s">
        <v>36</v>
      </c>
      <c r="D29" t="s">
        <v>28</v>
      </c>
      <c r="E29" t="s">
        <v>29</v>
      </c>
      <c r="F29" s="2">
        <v>2001</v>
      </c>
      <c r="G29" s="2">
        <v>0</v>
      </c>
      <c r="H29" s="2">
        <v>8.1999999999999993</v>
      </c>
      <c r="I29">
        <v>1993</v>
      </c>
      <c r="J29">
        <v>1.776</v>
      </c>
      <c r="K29" t="str">
        <f t="array" ref="K29">INDEX($C$25:$C$45, MATCH(1,( $A$25:$A$45=J29)*($F$25:$F$45=I29), 0))</f>
        <v>HMA Thin Overlay</v>
      </c>
      <c r="L29" t="str">
        <f t="array" ref="L29">IF(ISERROR(INDEX($B$25:$B$45,MATCH(1,($A$25:$A$45=J29)*($F$25:$F$45=I29),0))),"",INDEX($B$25:$B$45,MATCH(1,($A$25:$A$45=J29)*($F$25:$F$45=I29),0)))</f>
        <v>04-19289</v>
      </c>
    </row>
    <row r="30" spans="1:12">
      <c r="A30" s="2">
        <v>4.2859999999999996</v>
      </c>
      <c r="B30" t="s">
        <v>45</v>
      </c>
      <c r="C30" t="s">
        <v>27</v>
      </c>
      <c r="D30" t="s">
        <v>28</v>
      </c>
      <c r="E30" t="s">
        <v>29</v>
      </c>
      <c r="F30" s="2">
        <v>2001</v>
      </c>
      <c r="G30" s="2">
        <v>8.1999999999999993</v>
      </c>
      <c r="H30" s="2">
        <v>12.486000000000001</v>
      </c>
      <c r="I30">
        <v>2000</v>
      </c>
      <c r="J30">
        <v>50.6</v>
      </c>
      <c r="K30" t="e">
        <f t="array" ref="K30">INDEX($C$25:$C$45, MATCH(1,( $A$25:$A$45=J30)*($F$25:$F$45=I30), 0))</f>
        <v>#N/A</v>
      </c>
      <c r="L30" t="str">
        <f t="array" ref="L30">IF(ISERROR(INDEX($B$25:$B$45,MATCH(1,($A$25:$A$45=J30)*($F$25:$F$45=I30),0))),"",INDEX($B$25:$B$45,MATCH(1,($A$25:$A$45=J30)*($F$25:$F$45=I30),0)))</f>
        <v/>
      </c>
    </row>
    <row r="31" spans="1:12">
      <c r="A31" s="2">
        <v>4</v>
      </c>
      <c r="B31" t="s">
        <v>33</v>
      </c>
      <c r="C31" t="s">
        <v>34</v>
      </c>
      <c r="D31" t="s">
        <v>28</v>
      </c>
      <c r="E31" t="s">
        <v>29</v>
      </c>
      <c r="F31" s="2">
        <v>2001</v>
      </c>
      <c r="G31" s="2">
        <v>35.5</v>
      </c>
      <c r="H31" s="2">
        <v>39.5</v>
      </c>
      <c r="I31">
        <v>2000</v>
      </c>
      <c r="J31">
        <v>7.9829999999999997</v>
      </c>
      <c r="K31" t="str">
        <f t="array" ref="K31">INDEX($C$25:$C$45, MATCH(1,( $A$25:$A$45=J31)*($F$25:$F$45=I31), 0))</f>
        <v>Chip Seal</v>
      </c>
      <c r="L31" t="str">
        <f t="array" ref="L31">IF(ISERROR(INDEX($B$25:$B$45,MATCH(1,($A$25:$A$45=J31)*($F$25:$F$45=I31),0))),"",INDEX($B$25:$B$45,MATCH(1,($A$25:$A$45=J31)*($F$25:$F$45=I31),0)))</f>
        <v>04-1R110</v>
      </c>
    </row>
    <row r="32" spans="1:12">
      <c r="A32" s="2">
        <v>2.5</v>
      </c>
      <c r="B32" t="s">
        <v>33</v>
      </c>
      <c r="C32" t="s">
        <v>34</v>
      </c>
      <c r="D32" t="s">
        <v>28</v>
      </c>
      <c r="E32" t="s">
        <v>29</v>
      </c>
      <c r="F32" s="2">
        <v>2001</v>
      </c>
      <c r="G32" s="2">
        <v>39.5</v>
      </c>
      <c r="H32" s="2">
        <v>42</v>
      </c>
    </row>
    <row r="33" spans="1:8">
      <c r="A33" s="2">
        <v>1</v>
      </c>
      <c r="B33" t="s">
        <v>33</v>
      </c>
      <c r="C33" t="s">
        <v>34</v>
      </c>
      <c r="D33" t="s">
        <v>28</v>
      </c>
      <c r="E33" t="s">
        <v>29</v>
      </c>
      <c r="F33" s="2">
        <v>2001</v>
      </c>
      <c r="G33" s="2">
        <v>42</v>
      </c>
      <c r="H33" s="2">
        <v>43</v>
      </c>
    </row>
    <row r="34" spans="1:8">
      <c r="A34" s="2">
        <v>5</v>
      </c>
      <c r="B34" t="s">
        <v>33</v>
      </c>
      <c r="C34" t="s">
        <v>36</v>
      </c>
      <c r="D34" t="s">
        <v>28</v>
      </c>
      <c r="E34" t="s">
        <v>29</v>
      </c>
      <c r="F34" s="2">
        <v>2001</v>
      </c>
      <c r="G34" s="2">
        <v>43</v>
      </c>
      <c r="H34" s="2">
        <v>48</v>
      </c>
    </row>
    <row r="35" spans="1:8">
      <c r="A35" s="2">
        <v>2.6</v>
      </c>
      <c r="B35" t="s">
        <v>33</v>
      </c>
      <c r="C35" t="s">
        <v>34</v>
      </c>
      <c r="D35" t="s">
        <v>28</v>
      </c>
      <c r="E35" t="s">
        <v>29</v>
      </c>
      <c r="F35" s="2">
        <v>2001</v>
      </c>
      <c r="G35" s="2">
        <v>48</v>
      </c>
      <c r="H35" s="2">
        <v>50.6</v>
      </c>
    </row>
    <row r="36" spans="1:8">
      <c r="A36" s="2">
        <v>3.6150000000000002</v>
      </c>
      <c r="B36" t="s">
        <v>35</v>
      </c>
      <c r="C36" t="s">
        <v>36</v>
      </c>
      <c r="D36" t="s">
        <v>28</v>
      </c>
      <c r="E36" t="s">
        <v>29</v>
      </c>
      <c r="F36" s="2">
        <v>2004</v>
      </c>
      <c r="G36" s="2">
        <v>16.100000000000001</v>
      </c>
      <c r="H36" s="2">
        <v>19.715</v>
      </c>
    </row>
    <row r="37" spans="1:8">
      <c r="A37" s="2">
        <v>5.1150000000000002</v>
      </c>
      <c r="B37" t="s">
        <v>37</v>
      </c>
      <c r="C37" t="s">
        <v>38</v>
      </c>
      <c r="D37" t="s">
        <v>28</v>
      </c>
      <c r="E37" t="s">
        <v>29</v>
      </c>
      <c r="F37" s="2">
        <v>2005</v>
      </c>
      <c r="G37" s="2">
        <v>19.885000000000002</v>
      </c>
      <c r="H37" s="2">
        <v>25</v>
      </c>
    </row>
    <row r="38" spans="1:8">
      <c r="A38" s="2">
        <v>7.9829999999999997</v>
      </c>
      <c r="B38" t="s">
        <v>39</v>
      </c>
      <c r="C38" t="s">
        <v>38</v>
      </c>
      <c r="D38" t="s">
        <v>28</v>
      </c>
      <c r="E38" t="s">
        <v>29</v>
      </c>
      <c r="F38" s="2">
        <v>2006</v>
      </c>
      <c r="G38" s="2">
        <v>50.6</v>
      </c>
      <c r="H38" s="2">
        <v>58.582999999999998</v>
      </c>
    </row>
    <row r="39" spans="1:8">
      <c r="A39" s="2">
        <v>4.6189999999999998</v>
      </c>
      <c r="B39" t="s">
        <v>46</v>
      </c>
      <c r="C39" t="s">
        <v>27</v>
      </c>
      <c r="D39" t="s">
        <v>28</v>
      </c>
      <c r="E39" t="s">
        <v>29</v>
      </c>
      <c r="F39" s="2">
        <v>2009</v>
      </c>
      <c r="G39" s="2">
        <v>19.885000000000002</v>
      </c>
      <c r="H39" s="2">
        <v>24.504000000000001</v>
      </c>
    </row>
    <row r="40" spans="1:8">
      <c r="A40" s="2">
        <v>7.9829999999999997</v>
      </c>
      <c r="B40" t="s">
        <v>40</v>
      </c>
      <c r="C40" t="s">
        <v>38</v>
      </c>
      <c r="D40" t="s">
        <v>28</v>
      </c>
      <c r="E40" t="s">
        <v>29</v>
      </c>
      <c r="F40" s="2">
        <v>2009</v>
      </c>
      <c r="G40" s="2">
        <v>50.6</v>
      </c>
      <c r="H40" s="2">
        <v>58.582999999999998</v>
      </c>
    </row>
    <row r="41" spans="1:8">
      <c r="A41" s="2">
        <v>0.1</v>
      </c>
      <c r="B41" t="s">
        <v>47</v>
      </c>
      <c r="C41" t="s">
        <v>36</v>
      </c>
      <c r="D41" t="s">
        <v>28</v>
      </c>
      <c r="E41" t="s">
        <v>29</v>
      </c>
      <c r="F41" s="2">
        <v>2010</v>
      </c>
      <c r="G41" s="2">
        <v>16.2</v>
      </c>
      <c r="H41" s="2">
        <v>16.3</v>
      </c>
    </row>
    <row r="42" spans="1:8">
      <c r="A42" s="2">
        <v>0.1</v>
      </c>
      <c r="B42" t="s">
        <v>47</v>
      </c>
      <c r="C42" t="s">
        <v>36</v>
      </c>
      <c r="D42" t="s">
        <v>28</v>
      </c>
      <c r="E42" t="s">
        <v>29</v>
      </c>
      <c r="F42" s="2">
        <v>2010</v>
      </c>
      <c r="G42" s="2">
        <v>16.3</v>
      </c>
      <c r="H42" s="2">
        <v>16.399999999999999</v>
      </c>
    </row>
    <row r="43" spans="1:8">
      <c r="A43" s="2">
        <v>7.9829999999999997</v>
      </c>
      <c r="B43" t="s">
        <v>41</v>
      </c>
      <c r="C43" t="s">
        <v>27</v>
      </c>
      <c r="D43" t="s">
        <v>28</v>
      </c>
      <c r="E43" t="s">
        <v>29</v>
      </c>
      <c r="F43" s="2">
        <v>2010</v>
      </c>
      <c r="G43" s="2">
        <v>50.6</v>
      </c>
      <c r="H43" s="2">
        <v>58.582999999999998</v>
      </c>
    </row>
    <row r="44" spans="1:8">
      <c r="A44" s="2">
        <v>5</v>
      </c>
      <c r="B44" t="s">
        <v>42</v>
      </c>
      <c r="C44" t="s">
        <v>38</v>
      </c>
      <c r="D44" t="s">
        <v>28</v>
      </c>
      <c r="E44" t="s">
        <v>29</v>
      </c>
      <c r="F44" s="2">
        <v>2012</v>
      </c>
      <c r="G44" s="2">
        <v>30.5</v>
      </c>
      <c r="H44" s="2">
        <v>35.5</v>
      </c>
    </row>
    <row r="45" spans="1:8">
      <c r="A45" s="2">
        <v>20.100000000000001</v>
      </c>
      <c r="B45" t="s">
        <v>42</v>
      </c>
      <c r="C45" t="s">
        <v>27</v>
      </c>
      <c r="D45" t="s">
        <v>28</v>
      </c>
      <c r="E45" t="s">
        <v>29</v>
      </c>
      <c r="F45" s="2">
        <v>2012</v>
      </c>
      <c r="G45" s="2">
        <v>30.5</v>
      </c>
      <c r="H45" s="2">
        <v>50.6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13"/>
  <sheetViews>
    <sheetView tabSelected="1" workbookViewId="0">
      <selection activeCell="E19" sqref="E19"/>
    </sheetView>
  </sheetViews>
  <sheetFormatPr defaultRowHeight="15"/>
  <sheetData>
    <row r="1" spans="1:15">
      <c r="A1" s="4" t="s">
        <v>0</v>
      </c>
      <c r="B1" s="4" t="s">
        <v>3</v>
      </c>
      <c r="C1" s="4" t="s">
        <v>4</v>
      </c>
      <c r="D1" s="4" t="s">
        <v>5</v>
      </c>
      <c r="E1" s="4" t="s">
        <v>6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13</v>
      </c>
      <c r="L1" s="4" t="s">
        <v>14</v>
      </c>
      <c r="M1" s="4" t="s">
        <v>15</v>
      </c>
      <c r="N1" s="4" t="s">
        <v>16</v>
      </c>
      <c r="O1" s="4" t="s">
        <v>17</v>
      </c>
    </row>
    <row r="2" spans="1:15">
      <c r="A2" s="4">
        <v>1992</v>
      </c>
      <c r="B2" s="4">
        <v>10</v>
      </c>
      <c r="C2" s="4">
        <v>1.07</v>
      </c>
      <c r="D2" s="4">
        <v>39.53</v>
      </c>
      <c r="E2" s="4">
        <v>7.9829999999999997</v>
      </c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>
      <c r="A3" s="4">
        <v>1993</v>
      </c>
      <c r="B3" s="4">
        <v>24.524000000000001</v>
      </c>
      <c r="C3" s="4">
        <v>1.776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>
      <c r="A4" s="4">
        <v>2000</v>
      </c>
      <c r="B4" s="4">
        <v>50.6</v>
      </c>
      <c r="C4" s="4">
        <v>7.9829999999999997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>
      <c r="A5" s="4">
        <v>2001</v>
      </c>
      <c r="B5" s="4">
        <v>0</v>
      </c>
      <c r="C5" s="4">
        <v>8.1999999999999993</v>
      </c>
      <c r="D5" s="4">
        <v>0</v>
      </c>
      <c r="E5" s="4">
        <v>4.2859999999999996</v>
      </c>
      <c r="F5" s="4">
        <v>23.013999999999999</v>
      </c>
      <c r="G5" s="4">
        <v>4</v>
      </c>
      <c r="H5" s="4">
        <v>0</v>
      </c>
      <c r="I5" s="4">
        <v>2.5</v>
      </c>
      <c r="J5" s="4">
        <v>0</v>
      </c>
      <c r="K5" s="4">
        <v>1</v>
      </c>
      <c r="L5" s="4">
        <v>0</v>
      </c>
      <c r="M5" s="4">
        <v>5</v>
      </c>
      <c r="N5" s="4">
        <v>0</v>
      </c>
      <c r="O5" s="4">
        <v>2.6</v>
      </c>
    </row>
    <row r="6" spans="1:15">
      <c r="A6" s="4">
        <v>2004</v>
      </c>
      <c r="B6" s="4">
        <v>16.100000000000001</v>
      </c>
      <c r="C6" s="4">
        <v>3.6150000000000002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</row>
    <row r="7" spans="1:15">
      <c r="A7" s="4">
        <v>2005</v>
      </c>
      <c r="B7" s="4">
        <v>19.885000000000002</v>
      </c>
      <c r="C7" s="4">
        <v>5.1150000000000002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5">
      <c r="A8" s="4">
        <v>2006</v>
      </c>
      <c r="B8" s="4">
        <v>50.6</v>
      </c>
      <c r="C8" s="4">
        <v>7.9829999999999997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</row>
    <row r="9" spans="1:15">
      <c r="A9" s="4">
        <v>2009</v>
      </c>
      <c r="B9" s="4">
        <v>19.885000000000002</v>
      </c>
      <c r="C9" s="4">
        <v>4.6189999999999998</v>
      </c>
      <c r="D9" s="4">
        <v>26.096</v>
      </c>
      <c r="E9" s="4">
        <v>7.9829999999999997</v>
      </c>
      <c r="F9" s="4"/>
      <c r="G9" s="4"/>
      <c r="H9" s="4"/>
      <c r="I9" s="4"/>
      <c r="J9" s="4"/>
      <c r="K9" s="4"/>
      <c r="L9" s="4"/>
      <c r="M9" s="4"/>
      <c r="N9" s="4"/>
      <c r="O9" s="4"/>
    </row>
    <row r="10" spans="1:15">
      <c r="A10" s="4">
        <v>2010</v>
      </c>
      <c r="B10" s="4">
        <v>16.2</v>
      </c>
      <c r="C10" s="4">
        <v>0.1</v>
      </c>
      <c r="D10" s="4">
        <v>0</v>
      </c>
      <c r="E10" s="4">
        <v>0.1</v>
      </c>
      <c r="F10" s="4">
        <v>34.200000000000003</v>
      </c>
      <c r="G10" s="4">
        <v>7.9829999999999997</v>
      </c>
      <c r="H10" s="4"/>
      <c r="I10" s="4"/>
      <c r="J10" s="4"/>
      <c r="K10" s="4"/>
      <c r="L10" s="4"/>
      <c r="M10" s="4"/>
      <c r="N10" s="4"/>
      <c r="O10" s="4"/>
    </row>
    <row r="11" spans="1:15">
      <c r="A11" s="4">
        <v>2012</v>
      </c>
      <c r="B11" s="4">
        <v>30.5</v>
      </c>
      <c r="C11" s="4">
        <v>5</v>
      </c>
      <c r="D11" s="4">
        <v>0</v>
      </c>
      <c r="E11" s="4">
        <v>15.1</v>
      </c>
      <c r="F11" s="4"/>
      <c r="G11" s="4"/>
      <c r="H11" s="4"/>
      <c r="I11" s="4"/>
      <c r="J11" s="4"/>
      <c r="K11" s="4"/>
      <c r="L11" s="4"/>
      <c r="M11" s="4"/>
      <c r="N11" s="4"/>
      <c r="O11" s="4"/>
    </row>
    <row r="12" spans="1:15">
      <c r="A12" s="4"/>
      <c r="B12" s="4"/>
      <c r="C12" s="4"/>
      <c r="D12" s="4"/>
      <c r="E12" s="4"/>
      <c r="F12" s="4"/>
      <c r="G12" s="4"/>
    </row>
    <row r="13" spans="1:15">
      <c r="A13" s="4"/>
      <c r="B13" s="4"/>
      <c r="C13" s="4"/>
      <c r="D13" s="4"/>
      <c r="E13" s="4"/>
      <c r="F13" s="4"/>
      <c r="G13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11"/>
  <sheetViews>
    <sheetView zoomScaleNormal="100" workbookViewId="0">
      <selection activeCell="A13" sqref="A13:O25"/>
    </sheetView>
  </sheetViews>
  <sheetFormatPr defaultRowHeight="15"/>
  <cols>
    <col min="1" max="1" width="5.5703125" bestFit="1" customWidth="1"/>
    <col min="2" max="2" width="15.85546875" bestFit="1" customWidth="1"/>
    <col min="3" max="3" width="14.7109375" bestFit="1" customWidth="1"/>
    <col min="4" max="4" width="15.85546875" bestFit="1" customWidth="1"/>
    <col min="5" max="5" width="14.7109375" bestFit="1" customWidth="1"/>
    <col min="6" max="6" width="15.85546875" bestFit="1" customWidth="1"/>
    <col min="7" max="7" width="14.7109375" bestFit="1" customWidth="1"/>
    <col min="8" max="8" width="10.7109375" bestFit="1" customWidth="1"/>
    <col min="9" max="9" width="12.28515625" bestFit="1" customWidth="1"/>
    <col min="10" max="10" width="10.7109375" bestFit="1" customWidth="1"/>
    <col min="11" max="14" width="11.85546875" bestFit="1" customWidth="1"/>
    <col min="15" max="15" width="13.42578125" bestFit="1" customWidth="1"/>
    <col min="16" max="25" width="4.28515625" bestFit="1" customWidth="1"/>
  </cols>
  <sheetData>
    <row r="1" spans="1:25">
      <c r="A1" s="9"/>
      <c r="B1" s="11" t="s">
        <v>3</v>
      </c>
      <c r="C1" s="11" t="s">
        <v>55</v>
      </c>
      <c r="D1" s="11" t="s">
        <v>56</v>
      </c>
      <c r="E1" s="11" t="s">
        <v>57</v>
      </c>
      <c r="F1" s="11" t="s">
        <v>58</v>
      </c>
      <c r="G1" s="11" t="s">
        <v>59</v>
      </c>
      <c r="H1" s="11" t="s">
        <v>110</v>
      </c>
      <c r="I1" s="11" t="s">
        <v>111</v>
      </c>
      <c r="J1" s="11" t="s">
        <v>112</v>
      </c>
      <c r="K1" s="11" t="s">
        <v>113</v>
      </c>
      <c r="L1" s="11" t="s">
        <v>114</v>
      </c>
      <c r="M1" s="11" t="s">
        <v>115</v>
      </c>
      <c r="N1" s="11" t="s">
        <v>116</v>
      </c>
      <c r="O1" s="11" t="s">
        <v>117</v>
      </c>
      <c r="P1" s="9" t="s">
        <v>118</v>
      </c>
      <c r="Q1" s="9" t="s">
        <v>119</v>
      </c>
      <c r="R1" s="9" t="s">
        <v>120</v>
      </c>
      <c r="S1" s="9" t="s">
        <v>121</v>
      </c>
      <c r="T1" s="9" t="s">
        <v>122</v>
      </c>
      <c r="U1" s="9" t="s">
        <v>123</v>
      </c>
      <c r="V1" s="9" t="s">
        <v>124</v>
      </c>
      <c r="W1" s="9" t="s">
        <v>125</v>
      </c>
      <c r="X1" s="9" t="s">
        <v>126</v>
      </c>
      <c r="Y1" s="9" t="s">
        <v>127</v>
      </c>
    </row>
    <row r="2" spans="1:25">
      <c r="A2" s="4">
        <v>1992</v>
      </c>
      <c r="B2" s="10" t="str">
        <f>IF(ISBLANK(fromA!B2),"ph", $A2&amp;", " &amp;B$1&amp;", " &amp;fromA!B2)</f>
        <v>1992, L1, 10</v>
      </c>
      <c r="C2" s="10" t="str">
        <f>IF(ISBLANK(fromA!C2),"ph", $A2&amp;", " &amp;C$1&amp;", " &amp;fromA!C2)</f>
        <v>1992, L2, 1.07</v>
      </c>
      <c r="D2" s="10" t="str">
        <f>IF(ISBLANK(fromA!D2),"ph", $A2&amp;", " &amp;D$1&amp;", " &amp;fromA!D2)</f>
        <v>1992, L3, 39.53</v>
      </c>
      <c r="E2" s="10" t="str">
        <f>IF(ISBLANK(fromA!E2),"ph", $A2&amp;", " &amp;E$1&amp;", " &amp;fromA!E2)</f>
        <v>1992, L4, 7.983</v>
      </c>
      <c r="F2" s="10" t="str">
        <f>IF(ISBLANK(fromA!F2),"ph", $A2&amp;", " &amp;F$1&amp;", " &amp;fromA!F2)</f>
        <v>ph</v>
      </c>
      <c r="G2" s="10" t="str">
        <f>IF(ISBLANK(fromA!G2),"ph", $A2&amp;", " &amp;G$1&amp;", " &amp;fromA!G2)</f>
        <v>ph</v>
      </c>
      <c r="H2" s="10" t="str">
        <f>IF(ISBLANK(fromA!H2),"ph", $A2&amp;", " &amp;H$1&amp;", " &amp;fromA!H2)</f>
        <v>ph</v>
      </c>
      <c r="I2" s="10" t="str">
        <f>IF(ISBLANK(fromA!I2),"ph", $A2&amp;", " &amp;I$1&amp;", " &amp;fromA!I2)</f>
        <v>ph</v>
      </c>
      <c r="J2" s="10" t="str">
        <f>IF(ISBLANK(fromA!J2),"ph", $A2&amp;", " &amp;J$1&amp;", " &amp;fromA!J2)</f>
        <v>ph</v>
      </c>
      <c r="K2" s="10" t="str">
        <f>IF(ISBLANK(fromA!K2),"ph", $A2&amp;", " &amp;K$1&amp;", " &amp;fromA!K2)</f>
        <v>ph</v>
      </c>
      <c r="L2" s="10" t="str">
        <f>IF(ISBLANK(fromA!L2),"ph", $A2&amp;", " &amp;L$1&amp;", " &amp;fromA!L2)</f>
        <v>ph</v>
      </c>
      <c r="M2" s="10" t="str">
        <f>IF(ISBLANK(fromA!M2),"ph", $A2&amp;", " &amp;M$1&amp;", " &amp;fromA!M2)</f>
        <v>ph</v>
      </c>
      <c r="N2" s="10" t="str">
        <f>IF(ISBLANK(fromA!N2),"ph", $A2&amp;", " &amp;N$1&amp;", " &amp;fromA!N2)</f>
        <v>ph</v>
      </c>
      <c r="O2" s="10" t="str">
        <f>IF(ISBLANK(fromA!O2),"ph", $A2&amp;", " &amp;O$1&amp;", " &amp;fromA!O2)</f>
        <v>ph</v>
      </c>
      <c r="P2" s="10" t="str">
        <f>IF(ISBLANK(fromA!Q2), " ", $A2&amp;", " &amp;P$1&amp;", " &amp;fromA!Q2)</f>
        <v xml:space="preserve"> </v>
      </c>
      <c r="Q2" s="10" t="str">
        <f>IF(ISBLANK(fromA!R2), " ", $A2&amp;", " &amp;Q$1&amp;", " &amp;fromA!R2)</f>
        <v xml:space="preserve"> </v>
      </c>
      <c r="R2" s="10" t="str">
        <f>IF(ISBLANK(fromA!S2), " ", $A2&amp;", " &amp;R$1&amp;", " &amp;fromA!S2)</f>
        <v xml:space="preserve"> </v>
      </c>
      <c r="S2" s="10" t="str">
        <f>IF(ISBLANK(fromA!T2), " ", $A2&amp;", " &amp;S$1&amp;", " &amp;fromA!T2)</f>
        <v xml:space="preserve"> </v>
      </c>
      <c r="T2" s="10" t="str">
        <f>IF(ISBLANK(fromA!U2), " ", $A2&amp;", " &amp;T$1&amp;", " &amp;fromA!U2)</f>
        <v xml:space="preserve"> </v>
      </c>
      <c r="U2" s="10" t="str">
        <f>IF(ISBLANK(fromA!V2), " ", $A2&amp;", " &amp;U$1&amp;", " &amp;fromA!V2)</f>
        <v xml:space="preserve"> </v>
      </c>
      <c r="V2" s="10" t="str">
        <f>IF(ISBLANK(fromA!W2), " ", $A2&amp;", " &amp;V$1&amp;", " &amp;fromA!W2)</f>
        <v xml:space="preserve"> </v>
      </c>
      <c r="W2" s="10" t="str">
        <f>IF(ISBLANK(fromA!X2), " ", $A2&amp;", " &amp;W$1&amp;", " &amp;fromA!X2)</f>
        <v xml:space="preserve"> </v>
      </c>
      <c r="X2" s="10" t="str">
        <f>IF(ISBLANK(fromA!Y2), " ", $A2&amp;", " &amp;X$1&amp;", " &amp;fromA!Y2)</f>
        <v xml:space="preserve"> </v>
      </c>
      <c r="Y2" s="10" t="str">
        <f>IF(ISBLANK(fromA!Z2), " ", $A2&amp;", " &amp;Y$1&amp;", " &amp;fromA!Z2)</f>
        <v xml:space="preserve"> </v>
      </c>
    </row>
    <row r="3" spans="1:25">
      <c r="A3" s="4">
        <v>1993</v>
      </c>
      <c r="B3" s="10" t="str">
        <f>IF(ISBLANK(fromA!B3),"ph", $A3&amp;", " &amp;B$1&amp;", " &amp;fromA!B3)</f>
        <v>1993, L1, 24.524</v>
      </c>
      <c r="C3" s="10" t="str">
        <f>IF(ISBLANK(fromA!C3),"ph", $A3&amp;", " &amp;C$1&amp;", " &amp;fromA!C3)</f>
        <v>1993, L2, 1.776</v>
      </c>
      <c r="D3" s="10" t="str">
        <f>IF(ISBLANK(fromA!D3),"ph", $A3&amp;", " &amp;D$1&amp;", " &amp;fromA!D3)</f>
        <v>ph</v>
      </c>
      <c r="E3" s="10" t="str">
        <f>IF(ISBLANK(fromA!E3),"ph", $A3&amp;", " &amp;E$1&amp;", " &amp;fromA!E3)</f>
        <v>ph</v>
      </c>
      <c r="F3" s="10" t="str">
        <f>IF(ISBLANK(fromA!F3),"ph", $A3&amp;", " &amp;F$1&amp;", " &amp;fromA!F3)</f>
        <v>ph</v>
      </c>
      <c r="G3" s="10" t="str">
        <f>IF(ISBLANK(fromA!G3),"ph", $A3&amp;", " &amp;G$1&amp;", " &amp;fromA!G3)</f>
        <v>ph</v>
      </c>
      <c r="H3" s="10" t="str">
        <f>IF(ISBLANK(fromA!H3),"ph", $A3&amp;", " &amp;H$1&amp;", " &amp;fromA!H3)</f>
        <v>ph</v>
      </c>
      <c r="I3" s="10" t="str">
        <f>IF(ISBLANK(fromA!I3),"ph", $A3&amp;", " &amp;I$1&amp;", " &amp;fromA!I3)</f>
        <v>ph</v>
      </c>
      <c r="J3" s="10" t="str">
        <f>IF(ISBLANK(fromA!J3),"ph", $A3&amp;", " &amp;J$1&amp;", " &amp;fromA!J3)</f>
        <v>ph</v>
      </c>
      <c r="K3" s="10" t="str">
        <f>IF(ISBLANK(fromA!K3),"ph", $A3&amp;", " &amp;K$1&amp;", " &amp;fromA!K3)</f>
        <v>ph</v>
      </c>
      <c r="L3" s="10" t="str">
        <f>IF(ISBLANK(fromA!L3),"ph", $A3&amp;", " &amp;L$1&amp;", " &amp;fromA!L3)</f>
        <v>ph</v>
      </c>
      <c r="M3" s="10" t="str">
        <f>IF(ISBLANK(fromA!M3),"ph", $A3&amp;", " &amp;M$1&amp;", " &amp;fromA!M3)</f>
        <v>ph</v>
      </c>
      <c r="N3" s="10" t="str">
        <f>IF(ISBLANK(fromA!N3),"ph", $A3&amp;", " &amp;N$1&amp;", " &amp;fromA!N3)</f>
        <v>ph</v>
      </c>
      <c r="O3" s="10" t="str">
        <f>IF(ISBLANK(fromA!O3),"ph", $A3&amp;", " &amp;O$1&amp;", " &amp;fromA!O3)</f>
        <v>ph</v>
      </c>
      <c r="P3" s="10" t="str">
        <f>IF(ISBLANK(fromA!Q3), " ", $A3&amp;", " &amp;P$1&amp;", " &amp;fromA!Q3)</f>
        <v xml:space="preserve"> </v>
      </c>
      <c r="Q3" s="10" t="str">
        <f>IF(ISBLANK(fromA!R3), " ", $A3&amp;", " &amp;Q$1&amp;", " &amp;fromA!R3)</f>
        <v xml:space="preserve"> </v>
      </c>
      <c r="R3" s="10" t="str">
        <f>IF(ISBLANK(fromA!S3), " ", $A3&amp;", " &amp;R$1&amp;", " &amp;fromA!S3)</f>
        <v xml:space="preserve"> </v>
      </c>
      <c r="S3" s="10" t="str">
        <f>IF(ISBLANK(fromA!T3), " ", $A3&amp;", " &amp;S$1&amp;", " &amp;fromA!T3)</f>
        <v xml:space="preserve"> </v>
      </c>
      <c r="T3" s="10" t="str">
        <f>IF(ISBLANK(fromA!U3), " ", $A3&amp;", " &amp;T$1&amp;", " &amp;fromA!U3)</f>
        <v xml:space="preserve"> </v>
      </c>
      <c r="U3" s="10" t="str">
        <f>IF(ISBLANK(fromA!V3), " ", $A3&amp;", " &amp;U$1&amp;", " &amp;fromA!V3)</f>
        <v xml:space="preserve"> </v>
      </c>
      <c r="V3" s="10" t="str">
        <f>IF(ISBLANK(fromA!W3), " ", $A3&amp;", " &amp;V$1&amp;", " &amp;fromA!W3)</f>
        <v xml:space="preserve"> </v>
      </c>
      <c r="W3" s="10" t="str">
        <f>IF(ISBLANK(fromA!X3), " ", $A3&amp;", " &amp;W$1&amp;", " &amp;fromA!X3)</f>
        <v xml:space="preserve"> </v>
      </c>
      <c r="X3" s="10" t="str">
        <f>IF(ISBLANK(fromA!Y3), " ", $A3&amp;", " &amp;X$1&amp;", " &amp;fromA!Y3)</f>
        <v xml:space="preserve"> </v>
      </c>
      <c r="Y3" s="10" t="str">
        <f>IF(ISBLANK(fromA!Z3), " ", $A3&amp;", " &amp;Y$1&amp;", " &amp;fromA!Z3)</f>
        <v xml:space="preserve"> </v>
      </c>
    </row>
    <row r="4" spans="1:25">
      <c r="A4" s="4">
        <v>2000</v>
      </c>
      <c r="B4" s="10" t="str">
        <f>IF(ISBLANK(fromA!B4),"ph", $A4&amp;", " &amp;B$1&amp;", " &amp;fromA!B4)</f>
        <v>2000, L1, 50.6</v>
      </c>
      <c r="C4" s="10" t="str">
        <f>IF(ISBLANK(fromA!C4),"ph", $A4&amp;", " &amp;C$1&amp;", " &amp;fromA!C4)</f>
        <v>2000, L2, 7.983</v>
      </c>
      <c r="D4" s="10" t="str">
        <f>IF(ISBLANK(fromA!D4),"ph", $A4&amp;", " &amp;D$1&amp;", " &amp;fromA!D4)</f>
        <v>ph</v>
      </c>
      <c r="E4" s="10" t="str">
        <f>IF(ISBLANK(fromA!E4),"ph", $A4&amp;", " &amp;E$1&amp;", " &amp;fromA!E4)</f>
        <v>ph</v>
      </c>
      <c r="F4" s="10" t="str">
        <f>IF(ISBLANK(fromA!F4),"ph", $A4&amp;", " &amp;F$1&amp;", " &amp;fromA!F4)</f>
        <v>ph</v>
      </c>
      <c r="G4" s="10" t="str">
        <f>IF(ISBLANK(fromA!G4),"ph", $A4&amp;", " &amp;G$1&amp;", " &amp;fromA!G4)</f>
        <v>ph</v>
      </c>
      <c r="H4" s="10" t="str">
        <f>IF(ISBLANK(fromA!H4),"ph", $A4&amp;", " &amp;H$1&amp;", " &amp;fromA!H4)</f>
        <v>ph</v>
      </c>
      <c r="I4" s="10" t="str">
        <f>IF(ISBLANK(fromA!I4),"ph", $A4&amp;", " &amp;I$1&amp;", " &amp;fromA!I4)</f>
        <v>ph</v>
      </c>
      <c r="J4" s="10" t="str">
        <f>IF(ISBLANK(fromA!J4),"ph", $A4&amp;", " &amp;J$1&amp;", " &amp;fromA!J4)</f>
        <v>ph</v>
      </c>
      <c r="K4" s="10" t="str">
        <f>IF(ISBLANK(fromA!K4),"ph", $A4&amp;", " &amp;K$1&amp;", " &amp;fromA!K4)</f>
        <v>ph</v>
      </c>
      <c r="L4" s="10" t="str">
        <f>IF(ISBLANK(fromA!L4),"ph", $A4&amp;", " &amp;L$1&amp;", " &amp;fromA!L4)</f>
        <v>ph</v>
      </c>
      <c r="M4" s="10" t="str">
        <f>IF(ISBLANK(fromA!M4),"ph", $A4&amp;", " &amp;M$1&amp;", " &amp;fromA!M4)</f>
        <v>ph</v>
      </c>
      <c r="N4" s="10" t="str">
        <f>IF(ISBLANK(fromA!N4),"ph", $A4&amp;", " &amp;N$1&amp;", " &amp;fromA!N4)</f>
        <v>ph</v>
      </c>
      <c r="O4" s="10" t="str">
        <f>IF(ISBLANK(fromA!O4),"ph", $A4&amp;", " &amp;O$1&amp;", " &amp;fromA!O4)</f>
        <v>ph</v>
      </c>
      <c r="P4" s="10" t="str">
        <f>IF(ISBLANK(fromA!Q4), " ", $A4&amp;", " &amp;P$1&amp;", " &amp;fromA!Q4)</f>
        <v xml:space="preserve"> </v>
      </c>
      <c r="Q4" s="10" t="str">
        <f>IF(ISBLANK(fromA!R4), " ", $A4&amp;", " &amp;Q$1&amp;", " &amp;fromA!R4)</f>
        <v xml:space="preserve"> </v>
      </c>
      <c r="R4" s="10" t="str">
        <f>IF(ISBLANK(fromA!S4), " ", $A4&amp;", " &amp;R$1&amp;", " &amp;fromA!S4)</f>
        <v xml:space="preserve"> </v>
      </c>
      <c r="S4" s="10" t="str">
        <f>IF(ISBLANK(fromA!T4), " ", $A4&amp;", " &amp;S$1&amp;", " &amp;fromA!T4)</f>
        <v xml:space="preserve"> </v>
      </c>
      <c r="T4" s="10" t="str">
        <f>IF(ISBLANK(fromA!U4), " ", $A4&amp;", " &amp;T$1&amp;", " &amp;fromA!U4)</f>
        <v xml:space="preserve"> </v>
      </c>
      <c r="U4" s="10" t="str">
        <f>IF(ISBLANK(fromA!V4), " ", $A4&amp;", " &amp;U$1&amp;", " &amp;fromA!V4)</f>
        <v xml:space="preserve"> </v>
      </c>
      <c r="V4" s="10" t="str">
        <f>IF(ISBLANK(fromA!W4), " ", $A4&amp;", " &amp;V$1&amp;", " &amp;fromA!W4)</f>
        <v xml:space="preserve"> </v>
      </c>
      <c r="W4" s="10" t="str">
        <f>IF(ISBLANK(fromA!X4), " ", $A4&amp;", " &amp;W$1&amp;", " &amp;fromA!X4)</f>
        <v xml:space="preserve"> </v>
      </c>
      <c r="X4" s="10" t="str">
        <f>IF(ISBLANK(fromA!Y4), " ", $A4&amp;", " &amp;X$1&amp;", " &amp;fromA!Y4)</f>
        <v xml:space="preserve"> </v>
      </c>
      <c r="Y4" s="10" t="str">
        <f>IF(ISBLANK(fromA!Z4), " ", $A4&amp;", " &amp;Y$1&amp;", " &amp;fromA!Z4)</f>
        <v xml:space="preserve"> </v>
      </c>
    </row>
    <row r="5" spans="1:25">
      <c r="A5" s="4">
        <v>2001</v>
      </c>
      <c r="B5" s="10" t="str">
        <f>IF(ISBLANK(fromA!B5),"ph", $A5&amp;", " &amp;B$1&amp;", " &amp;fromA!B5)</f>
        <v>2001, L1, 0</v>
      </c>
      <c r="C5" s="10" t="str">
        <f>IF(ISBLANK(fromA!C5),"ph", $A5&amp;", " &amp;C$1&amp;", " &amp;fromA!C5)</f>
        <v>2001, L2, 8.2</v>
      </c>
      <c r="D5" s="10" t="str">
        <f>IF(ISBLANK(fromA!D5),"ph", $A5&amp;", " &amp;D$1&amp;", " &amp;fromA!D5)</f>
        <v>2001, L3, 0</v>
      </c>
      <c r="E5" s="10" t="str">
        <f>IF(ISBLANK(fromA!E5),"ph", $A5&amp;", " &amp;E$1&amp;", " &amp;fromA!E5)</f>
        <v>2001, L4, 4.286</v>
      </c>
      <c r="F5" s="10" t="str">
        <f>IF(ISBLANK(fromA!F5),"ph", $A5&amp;", " &amp;F$1&amp;", " &amp;fromA!F5)</f>
        <v>2001, L5, 23.014</v>
      </c>
      <c r="G5" s="10" t="str">
        <f>IF(ISBLANK(fromA!G5),"ph", $A5&amp;", " &amp;G$1&amp;", " &amp;fromA!G5)</f>
        <v>2001, L6, 4</v>
      </c>
      <c r="H5" s="10" t="str">
        <f>IF(ISBLANK(fromA!H5),"ph", $A5&amp;", " &amp;H$1&amp;", " &amp;fromA!H5)</f>
        <v>2001, L7, 0</v>
      </c>
      <c r="I5" s="10" t="str">
        <f>IF(ISBLANK(fromA!I5),"ph", $A5&amp;", " &amp;I$1&amp;", " &amp;fromA!I5)</f>
        <v>2001, L8, 2.5</v>
      </c>
      <c r="J5" s="10" t="str">
        <f>IF(ISBLANK(fromA!J5),"ph", $A5&amp;", " &amp;J$1&amp;", " &amp;fromA!J5)</f>
        <v>2001, L9, 0</v>
      </c>
      <c r="K5" s="10" t="str">
        <f>IF(ISBLANK(fromA!K5),"ph", $A5&amp;", " &amp;K$1&amp;", " &amp;fromA!K5)</f>
        <v>2001, L10, 1</v>
      </c>
      <c r="L5" s="10" t="str">
        <f>IF(ISBLANK(fromA!L5),"ph", $A5&amp;", " &amp;L$1&amp;", " &amp;fromA!L5)</f>
        <v>2001, L11, 0</v>
      </c>
      <c r="M5" s="10" t="str">
        <f>IF(ISBLANK(fromA!M5),"ph", $A5&amp;", " &amp;M$1&amp;", " &amp;fromA!M5)</f>
        <v>2001, L12, 5</v>
      </c>
      <c r="N5" s="10" t="str">
        <f>IF(ISBLANK(fromA!N5),"ph", $A5&amp;", " &amp;N$1&amp;", " &amp;fromA!N5)</f>
        <v>2001, L13, 0</v>
      </c>
      <c r="O5" s="10" t="str">
        <f>IF(ISBLANK(fromA!O5),"ph", $A5&amp;", " &amp;O$1&amp;", " &amp;fromA!O5)</f>
        <v>2001, L14, 2.6</v>
      </c>
      <c r="P5" s="10" t="str">
        <f>IF(ISBLANK(fromA!Q5), " ", $A5&amp;", " &amp;P$1&amp;", " &amp;fromA!Q5)</f>
        <v xml:space="preserve"> </v>
      </c>
      <c r="Q5" s="10" t="str">
        <f>IF(ISBLANK(fromA!R5), " ", $A5&amp;", " &amp;Q$1&amp;", " &amp;fromA!R5)</f>
        <v xml:space="preserve"> </v>
      </c>
      <c r="R5" s="10" t="str">
        <f>IF(ISBLANK(fromA!S5), " ", $A5&amp;", " &amp;R$1&amp;", " &amp;fromA!S5)</f>
        <v xml:space="preserve"> </v>
      </c>
      <c r="S5" s="10" t="str">
        <f>IF(ISBLANK(fromA!T5), " ", $A5&amp;", " &amp;S$1&amp;", " &amp;fromA!T5)</f>
        <v xml:space="preserve"> </v>
      </c>
      <c r="T5" s="10" t="str">
        <f>IF(ISBLANK(fromA!U5), " ", $A5&amp;", " &amp;T$1&amp;", " &amp;fromA!U5)</f>
        <v xml:space="preserve"> </v>
      </c>
      <c r="U5" s="10" t="str">
        <f>IF(ISBLANK(fromA!V5), " ", $A5&amp;", " &amp;U$1&amp;", " &amp;fromA!V5)</f>
        <v xml:space="preserve"> </v>
      </c>
      <c r="V5" s="10" t="str">
        <f>IF(ISBLANK(fromA!W5), " ", $A5&amp;", " &amp;V$1&amp;", " &amp;fromA!W5)</f>
        <v xml:space="preserve"> </v>
      </c>
      <c r="W5" s="10" t="str">
        <f>IF(ISBLANK(fromA!X5), " ", $A5&amp;", " &amp;W$1&amp;", " &amp;fromA!X5)</f>
        <v xml:space="preserve"> </v>
      </c>
      <c r="X5" s="10" t="str">
        <f>IF(ISBLANK(fromA!Y5), " ", $A5&amp;", " &amp;X$1&amp;", " &amp;fromA!Y5)</f>
        <v xml:space="preserve"> </v>
      </c>
      <c r="Y5" s="10" t="str">
        <f>IF(ISBLANK(fromA!Z5), " ", $A5&amp;", " &amp;Y$1&amp;", " &amp;fromA!Z5)</f>
        <v xml:space="preserve"> </v>
      </c>
    </row>
    <row r="6" spans="1:25">
      <c r="A6" s="4">
        <v>2004</v>
      </c>
      <c r="B6" s="10" t="str">
        <f>IF(ISBLANK(fromA!B6),"ph", $A6&amp;", " &amp;B$1&amp;", " &amp;fromA!B6)</f>
        <v>2004, L1, 16.1</v>
      </c>
      <c r="C6" s="10" t="str">
        <f>IF(ISBLANK(fromA!C6),"ph", $A6&amp;", " &amp;C$1&amp;", " &amp;fromA!C6)</f>
        <v>2004, L2, 3.615</v>
      </c>
      <c r="D6" s="10" t="str">
        <f>IF(ISBLANK(fromA!D6),"ph", $A6&amp;", " &amp;D$1&amp;", " &amp;fromA!D6)</f>
        <v>ph</v>
      </c>
      <c r="E6" s="10" t="str">
        <f>IF(ISBLANK(fromA!E6),"ph", $A6&amp;", " &amp;E$1&amp;", " &amp;fromA!E6)</f>
        <v>ph</v>
      </c>
      <c r="F6" s="10" t="str">
        <f>IF(ISBLANK(fromA!F6),"ph", $A6&amp;", " &amp;F$1&amp;", " &amp;fromA!F6)</f>
        <v>ph</v>
      </c>
      <c r="G6" s="10" t="str">
        <f>IF(ISBLANK(fromA!G6),"ph", $A6&amp;", " &amp;G$1&amp;", " &amp;fromA!G6)</f>
        <v>ph</v>
      </c>
      <c r="H6" s="10" t="str">
        <f>IF(ISBLANK(fromA!H6),"ph", $A6&amp;", " &amp;H$1&amp;", " &amp;fromA!H6)</f>
        <v>ph</v>
      </c>
      <c r="I6" s="10" t="str">
        <f>IF(ISBLANK(fromA!I6),"ph", $A6&amp;", " &amp;I$1&amp;", " &amp;fromA!I6)</f>
        <v>ph</v>
      </c>
      <c r="J6" s="10" t="str">
        <f>IF(ISBLANK(fromA!J6),"ph", $A6&amp;", " &amp;J$1&amp;", " &amp;fromA!J6)</f>
        <v>ph</v>
      </c>
      <c r="K6" s="10" t="str">
        <f>IF(ISBLANK(fromA!K6),"ph", $A6&amp;", " &amp;K$1&amp;", " &amp;fromA!K6)</f>
        <v>ph</v>
      </c>
      <c r="L6" s="10" t="str">
        <f>IF(ISBLANK(fromA!L6),"ph", $A6&amp;", " &amp;L$1&amp;", " &amp;fromA!L6)</f>
        <v>ph</v>
      </c>
      <c r="M6" s="10" t="str">
        <f>IF(ISBLANK(fromA!M6),"ph", $A6&amp;", " &amp;M$1&amp;", " &amp;fromA!M6)</f>
        <v>ph</v>
      </c>
      <c r="N6" s="10" t="str">
        <f>IF(ISBLANK(fromA!N6),"ph", $A6&amp;", " &amp;N$1&amp;", " &amp;fromA!N6)</f>
        <v>ph</v>
      </c>
      <c r="O6" s="10" t="str">
        <f>IF(ISBLANK(fromA!O6),"ph", $A6&amp;", " &amp;O$1&amp;", " &amp;fromA!O6)</f>
        <v>ph</v>
      </c>
      <c r="P6" s="10" t="str">
        <f>IF(ISBLANK(fromA!Q6), " ", $A6&amp;", " &amp;P$1&amp;", " &amp;fromA!Q6)</f>
        <v xml:space="preserve"> </v>
      </c>
      <c r="Q6" s="10" t="str">
        <f>IF(ISBLANK(fromA!R6), " ", $A6&amp;", " &amp;Q$1&amp;", " &amp;fromA!R6)</f>
        <v xml:space="preserve"> </v>
      </c>
      <c r="R6" s="10" t="str">
        <f>IF(ISBLANK(fromA!S6), " ", $A6&amp;", " &amp;R$1&amp;", " &amp;fromA!S6)</f>
        <v xml:space="preserve"> </v>
      </c>
      <c r="S6" s="10" t="str">
        <f>IF(ISBLANK(fromA!T6), " ", $A6&amp;", " &amp;S$1&amp;", " &amp;fromA!T6)</f>
        <v xml:space="preserve"> </v>
      </c>
      <c r="T6" s="10" t="str">
        <f>IF(ISBLANK(fromA!U6), " ", $A6&amp;", " &amp;T$1&amp;", " &amp;fromA!U6)</f>
        <v xml:space="preserve"> </v>
      </c>
      <c r="U6" s="10" t="str">
        <f>IF(ISBLANK(fromA!V6), " ", $A6&amp;", " &amp;U$1&amp;", " &amp;fromA!V6)</f>
        <v xml:space="preserve"> </v>
      </c>
      <c r="V6" s="10" t="str">
        <f>IF(ISBLANK(fromA!W6), " ", $A6&amp;", " &amp;V$1&amp;", " &amp;fromA!W6)</f>
        <v xml:space="preserve"> </v>
      </c>
      <c r="W6" s="10" t="str">
        <f>IF(ISBLANK(fromA!X6), " ", $A6&amp;", " &amp;W$1&amp;", " &amp;fromA!X6)</f>
        <v xml:space="preserve"> </v>
      </c>
      <c r="X6" s="10" t="str">
        <f>IF(ISBLANK(fromA!Y6), " ", $A6&amp;", " &amp;X$1&amp;", " &amp;fromA!Y6)</f>
        <v xml:space="preserve"> </v>
      </c>
      <c r="Y6" s="10" t="str">
        <f>IF(ISBLANK(fromA!Z6), " ", $A6&amp;", " &amp;Y$1&amp;", " &amp;fromA!Z6)</f>
        <v xml:space="preserve"> </v>
      </c>
    </row>
    <row r="7" spans="1:25">
      <c r="A7" s="4">
        <v>2005</v>
      </c>
      <c r="B7" s="10" t="str">
        <f>IF(ISBLANK(fromA!B7),"ph", $A7&amp;", " &amp;B$1&amp;", " &amp;fromA!B7)</f>
        <v>2005, L1, 19.885</v>
      </c>
      <c r="C7" s="10" t="str">
        <f>IF(ISBLANK(fromA!C7),"ph", $A7&amp;", " &amp;C$1&amp;", " &amp;fromA!C7)</f>
        <v>2005, L2, 5.115</v>
      </c>
      <c r="D7" s="10" t="str">
        <f>IF(ISBLANK(fromA!D7),"ph", $A7&amp;", " &amp;D$1&amp;", " &amp;fromA!D7)</f>
        <v>ph</v>
      </c>
      <c r="E7" s="10" t="str">
        <f>IF(ISBLANK(fromA!E7),"ph", $A7&amp;", " &amp;E$1&amp;", " &amp;fromA!E7)</f>
        <v>ph</v>
      </c>
      <c r="F7" s="10" t="str">
        <f>IF(ISBLANK(fromA!F7),"ph", $A7&amp;", " &amp;F$1&amp;", " &amp;fromA!F7)</f>
        <v>ph</v>
      </c>
      <c r="G7" s="10" t="str">
        <f>IF(ISBLANK(fromA!G7),"ph", $A7&amp;", " &amp;G$1&amp;", " &amp;fromA!G7)</f>
        <v>ph</v>
      </c>
      <c r="H7" s="10" t="str">
        <f>IF(ISBLANK(fromA!H7),"ph", $A7&amp;", " &amp;H$1&amp;", " &amp;fromA!H7)</f>
        <v>ph</v>
      </c>
      <c r="I7" s="10" t="str">
        <f>IF(ISBLANK(fromA!I7),"ph", $A7&amp;", " &amp;I$1&amp;", " &amp;fromA!I7)</f>
        <v>ph</v>
      </c>
      <c r="J7" s="10" t="str">
        <f>IF(ISBLANK(fromA!J7),"ph", $A7&amp;", " &amp;J$1&amp;", " &amp;fromA!J7)</f>
        <v>ph</v>
      </c>
      <c r="K7" s="10" t="str">
        <f>IF(ISBLANK(fromA!K7),"ph", $A7&amp;", " &amp;K$1&amp;", " &amp;fromA!K7)</f>
        <v>ph</v>
      </c>
      <c r="L7" s="10" t="str">
        <f>IF(ISBLANK(fromA!L7),"ph", $A7&amp;", " &amp;L$1&amp;", " &amp;fromA!L7)</f>
        <v>ph</v>
      </c>
      <c r="M7" s="10" t="str">
        <f>IF(ISBLANK(fromA!M7),"ph", $A7&amp;", " &amp;M$1&amp;", " &amp;fromA!M7)</f>
        <v>ph</v>
      </c>
      <c r="N7" s="10" t="str">
        <f>IF(ISBLANK(fromA!N7),"ph", $A7&amp;", " &amp;N$1&amp;", " &amp;fromA!N7)</f>
        <v>ph</v>
      </c>
      <c r="O7" s="10" t="str">
        <f>IF(ISBLANK(fromA!O7),"ph", $A7&amp;", " &amp;O$1&amp;", " &amp;fromA!O7)</f>
        <v>ph</v>
      </c>
      <c r="P7" s="10" t="str">
        <f>IF(ISBLANK(fromA!Q7), " ", $A7&amp;", " &amp;P$1&amp;", " &amp;fromA!Q7)</f>
        <v xml:space="preserve"> </v>
      </c>
      <c r="Q7" s="10" t="str">
        <f>IF(ISBLANK(fromA!R7), " ", $A7&amp;", " &amp;Q$1&amp;", " &amp;fromA!R7)</f>
        <v xml:space="preserve"> </v>
      </c>
      <c r="R7" s="10" t="str">
        <f>IF(ISBLANK(fromA!S7), " ", $A7&amp;", " &amp;R$1&amp;", " &amp;fromA!S7)</f>
        <v xml:space="preserve"> </v>
      </c>
      <c r="S7" s="10" t="str">
        <f>IF(ISBLANK(fromA!T7), " ", $A7&amp;", " &amp;S$1&amp;", " &amp;fromA!T7)</f>
        <v xml:space="preserve"> </v>
      </c>
      <c r="T7" s="10" t="str">
        <f>IF(ISBLANK(fromA!U7), " ", $A7&amp;", " &amp;T$1&amp;", " &amp;fromA!U7)</f>
        <v xml:space="preserve"> </v>
      </c>
      <c r="U7" s="10" t="str">
        <f>IF(ISBLANK(fromA!V7), " ", $A7&amp;", " &amp;U$1&amp;", " &amp;fromA!V7)</f>
        <v xml:space="preserve"> </v>
      </c>
      <c r="V7" s="10" t="str">
        <f>IF(ISBLANK(fromA!W7), " ", $A7&amp;", " &amp;V$1&amp;", " &amp;fromA!W7)</f>
        <v xml:space="preserve"> </v>
      </c>
      <c r="W7" s="10" t="str">
        <f>IF(ISBLANK(fromA!X7), " ", $A7&amp;", " &amp;W$1&amp;", " &amp;fromA!X7)</f>
        <v xml:space="preserve"> </v>
      </c>
      <c r="X7" s="10" t="str">
        <f>IF(ISBLANK(fromA!Y7), " ", $A7&amp;", " &amp;X$1&amp;", " &amp;fromA!Y7)</f>
        <v xml:space="preserve"> </v>
      </c>
      <c r="Y7" s="10" t="str">
        <f>IF(ISBLANK(fromA!Z7), " ", $A7&amp;", " &amp;Y$1&amp;", " &amp;fromA!Z7)</f>
        <v xml:space="preserve"> </v>
      </c>
    </row>
    <row r="8" spans="1:25">
      <c r="A8" s="4">
        <v>2006</v>
      </c>
      <c r="B8" s="10" t="str">
        <f>IF(ISBLANK(fromA!B8),"ph", $A8&amp;", " &amp;B$1&amp;", " &amp;fromA!B8)</f>
        <v>2006, L1, 50.6</v>
      </c>
      <c r="C8" s="10" t="str">
        <f>IF(ISBLANK(fromA!C8),"ph", $A8&amp;", " &amp;C$1&amp;", " &amp;fromA!C8)</f>
        <v>2006, L2, 7.983</v>
      </c>
      <c r="D8" s="10" t="str">
        <f>IF(ISBLANK(fromA!D8),"ph", $A8&amp;", " &amp;D$1&amp;", " &amp;fromA!D8)</f>
        <v>ph</v>
      </c>
      <c r="E8" s="10" t="str">
        <f>IF(ISBLANK(fromA!E8),"ph", $A8&amp;", " &amp;E$1&amp;", " &amp;fromA!E8)</f>
        <v>ph</v>
      </c>
      <c r="F8" s="10" t="str">
        <f>IF(ISBLANK(fromA!F8),"ph", $A8&amp;", " &amp;F$1&amp;", " &amp;fromA!F8)</f>
        <v>ph</v>
      </c>
      <c r="G8" s="10" t="str">
        <f>IF(ISBLANK(fromA!G8),"ph", $A8&amp;", " &amp;G$1&amp;", " &amp;fromA!G8)</f>
        <v>ph</v>
      </c>
      <c r="H8" s="10" t="str">
        <f>IF(ISBLANK(fromA!H8),"ph", $A8&amp;", " &amp;H$1&amp;", " &amp;fromA!H8)</f>
        <v>ph</v>
      </c>
      <c r="I8" s="10" t="str">
        <f>IF(ISBLANK(fromA!I8),"ph", $A8&amp;", " &amp;I$1&amp;", " &amp;fromA!I8)</f>
        <v>ph</v>
      </c>
      <c r="J8" s="10" t="str">
        <f>IF(ISBLANK(fromA!J8),"ph", $A8&amp;", " &amp;J$1&amp;", " &amp;fromA!J8)</f>
        <v>ph</v>
      </c>
      <c r="K8" s="10" t="str">
        <f>IF(ISBLANK(fromA!K8),"ph", $A8&amp;", " &amp;K$1&amp;", " &amp;fromA!K8)</f>
        <v>ph</v>
      </c>
      <c r="L8" s="10" t="str">
        <f>IF(ISBLANK(fromA!L8),"ph", $A8&amp;", " &amp;L$1&amp;", " &amp;fromA!L8)</f>
        <v>ph</v>
      </c>
      <c r="M8" s="10" t="str">
        <f>IF(ISBLANK(fromA!M8),"ph", $A8&amp;", " &amp;M$1&amp;", " &amp;fromA!M8)</f>
        <v>ph</v>
      </c>
      <c r="N8" s="10" t="str">
        <f>IF(ISBLANK(fromA!N8),"ph", $A8&amp;", " &amp;N$1&amp;", " &amp;fromA!N8)</f>
        <v>ph</v>
      </c>
      <c r="O8" s="10" t="str">
        <f>IF(ISBLANK(fromA!O8),"ph", $A8&amp;", " &amp;O$1&amp;", " &amp;fromA!O8)</f>
        <v>ph</v>
      </c>
      <c r="P8" s="10" t="str">
        <f>IF(ISBLANK(fromA!Q8), " ", $A8&amp;", " &amp;P$1&amp;", " &amp;fromA!Q8)</f>
        <v xml:space="preserve"> </v>
      </c>
      <c r="Q8" s="10" t="str">
        <f>IF(ISBLANK(fromA!R8), " ", $A8&amp;", " &amp;Q$1&amp;", " &amp;fromA!R8)</f>
        <v xml:space="preserve"> </v>
      </c>
      <c r="R8" s="10" t="str">
        <f>IF(ISBLANK(fromA!S8), " ", $A8&amp;", " &amp;R$1&amp;", " &amp;fromA!S8)</f>
        <v xml:space="preserve"> </v>
      </c>
      <c r="S8" s="10" t="str">
        <f>IF(ISBLANK(fromA!T8), " ", $A8&amp;", " &amp;S$1&amp;", " &amp;fromA!T8)</f>
        <v xml:space="preserve"> </v>
      </c>
      <c r="T8" s="10" t="str">
        <f>IF(ISBLANK(fromA!U8), " ", $A8&amp;", " &amp;T$1&amp;", " &amp;fromA!U8)</f>
        <v xml:space="preserve"> </v>
      </c>
      <c r="U8" s="10" t="str">
        <f>IF(ISBLANK(fromA!V8), " ", $A8&amp;", " &amp;U$1&amp;", " &amp;fromA!V8)</f>
        <v xml:space="preserve"> </v>
      </c>
      <c r="V8" s="10" t="str">
        <f>IF(ISBLANK(fromA!W8), " ", $A8&amp;", " &amp;V$1&amp;", " &amp;fromA!W8)</f>
        <v xml:space="preserve"> </v>
      </c>
      <c r="W8" s="10" t="str">
        <f>IF(ISBLANK(fromA!X8), " ", $A8&amp;", " &amp;W$1&amp;", " &amp;fromA!X8)</f>
        <v xml:space="preserve"> </v>
      </c>
      <c r="X8" s="10" t="str">
        <f>IF(ISBLANK(fromA!Y8), " ", $A8&amp;", " &amp;X$1&amp;", " &amp;fromA!Y8)</f>
        <v xml:space="preserve"> </v>
      </c>
      <c r="Y8" s="10" t="str">
        <f>IF(ISBLANK(fromA!Z8), " ", $A8&amp;", " &amp;Y$1&amp;", " &amp;fromA!Z8)</f>
        <v xml:space="preserve"> </v>
      </c>
    </row>
    <row r="9" spans="1:25">
      <c r="A9" s="4">
        <v>2009</v>
      </c>
      <c r="B9" s="10" t="str">
        <f>IF(ISBLANK(fromA!B9),"ph", $A9&amp;", " &amp;B$1&amp;", " &amp;fromA!B9)</f>
        <v>2009, L1, 19.885</v>
      </c>
      <c r="C9" s="10" t="str">
        <f>IF(ISBLANK(fromA!C9),"ph", $A9&amp;", " &amp;C$1&amp;", " &amp;fromA!C9)</f>
        <v>2009, L2, 4.619</v>
      </c>
      <c r="D9" s="10" t="str">
        <f>IF(ISBLANK(fromA!D9),"ph", $A9&amp;", " &amp;D$1&amp;", " &amp;fromA!D9)</f>
        <v>2009, L3, 26.096</v>
      </c>
      <c r="E9" s="10" t="str">
        <f>IF(ISBLANK(fromA!E9),"ph", $A9&amp;", " &amp;E$1&amp;", " &amp;fromA!E9)</f>
        <v>2009, L4, 7.983</v>
      </c>
      <c r="F9" s="10" t="str">
        <f>IF(ISBLANK(fromA!F9),"ph", $A9&amp;", " &amp;F$1&amp;", " &amp;fromA!F9)</f>
        <v>ph</v>
      </c>
      <c r="G9" s="10" t="str">
        <f>IF(ISBLANK(fromA!G9),"ph", $A9&amp;", " &amp;G$1&amp;", " &amp;fromA!G9)</f>
        <v>ph</v>
      </c>
      <c r="H9" s="10" t="str">
        <f>IF(ISBLANK(fromA!H9),"ph", $A9&amp;", " &amp;H$1&amp;", " &amp;fromA!H9)</f>
        <v>ph</v>
      </c>
      <c r="I9" s="10" t="str">
        <f>IF(ISBLANK(fromA!I9),"ph", $A9&amp;", " &amp;I$1&amp;", " &amp;fromA!I9)</f>
        <v>ph</v>
      </c>
      <c r="J9" s="10" t="str">
        <f>IF(ISBLANK(fromA!J9),"ph", $A9&amp;", " &amp;J$1&amp;", " &amp;fromA!J9)</f>
        <v>ph</v>
      </c>
      <c r="K9" s="10" t="str">
        <f>IF(ISBLANK(fromA!K9),"ph", $A9&amp;", " &amp;K$1&amp;", " &amp;fromA!K9)</f>
        <v>ph</v>
      </c>
      <c r="L9" s="10" t="str">
        <f>IF(ISBLANK(fromA!L9),"ph", $A9&amp;", " &amp;L$1&amp;", " &amp;fromA!L9)</f>
        <v>ph</v>
      </c>
      <c r="M9" s="10" t="str">
        <f>IF(ISBLANK(fromA!M9),"ph", $A9&amp;", " &amp;M$1&amp;", " &amp;fromA!M9)</f>
        <v>ph</v>
      </c>
      <c r="N9" s="10" t="str">
        <f>IF(ISBLANK(fromA!N9),"ph", $A9&amp;", " &amp;N$1&amp;", " &amp;fromA!N9)</f>
        <v>ph</v>
      </c>
      <c r="O9" s="10" t="str">
        <f>IF(ISBLANK(fromA!O9),"ph", $A9&amp;", " &amp;O$1&amp;", " &amp;fromA!O9)</f>
        <v>ph</v>
      </c>
      <c r="P9" s="10" t="str">
        <f>IF(ISBLANK(fromA!Q9), " ", $A9&amp;", " &amp;P$1&amp;", " &amp;fromA!Q9)</f>
        <v xml:space="preserve"> </v>
      </c>
      <c r="Q9" s="10" t="str">
        <f>IF(ISBLANK(fromA!R9), " ", $A9&amp;", " &amp;Q$1&amp;", " &amp;fromA!R9)</f>
        <v xml:space="preserve"> </v>
      </c>
      <c r="R9" s="10" t="str">
        <f>IF(ISBLANK(fromA!S9), " ", $A9&amp;", " &amp;R$1&amp;", " &amp;fromA!S9)</f>
        <v xml:space="preserve"> </v>
      </c>
      <c r="S9" s="10" t="str">
        <f>IF(ISBLANK(fromA!T9), " ", $A9&amp;", " &amp;S$1&amp;", " &amp;fromA!T9)</f>
        <v xml:space="preserve"> </v>
      </c>
      <c r="T9" s="10" t="str">
        <f>IF(ISBLANK(fromA!U9), " ", $A9&amp;", " &amp;T$1&amp;", " &amp;fromA!U9)</f>
        <v xml:space="preserve"> </v>
      </c>
      <c r="U9" s="10" t="str">
        <f>IF(ISBLANK(fromA!V9), " ", $A9&amp;", " &amp;U$1&amp;", " &amp;fromA!V9)</f>
        <v xml:space="preserve"> </v>
      </c>
      <c r="V9" s="10" t="str">
        <f>IF(ISBLANK(fromA!W9), " ", $A9&amp;", " &amp;V$1&amp;", " &amp;fromA!W9)</f>
        <v xml:space="preserve"> </v>
      </c>
      <c r="W9" s="10" t="str">
        <f>IF(ISBLANK(fromA!X9), " ", $A9&amp;", " &amp;W$1&amp;", " &amp;fromA!X9)</f>
        <v xml:space="preserve"> </v>
      </c>
      <c r="X9" s="10" t="str">
        <f>IF(ISBLANK(fromA!Y9), " ", $A9&amp;", " &amp;X$1&amp;", " &amp;fromA!Y9)</f>
        <v xml:space="preserve"> </v>
      </c>
      <c r="Y9" s="10" t="str">
        <f>IF(ISBLANK(fromA!Z9), " ", $A9&amp;", " &amp;Y$1&amp;", " &amp;fromA!Z9)</f>
        <v xml:space="preserve"> </v>
      </c>
    </row>
    <row r="10" spans="1:25">
      <c r="A10" s="4">
        <v>2010</v>
      </c>
      <c r="B10" s="10" t="str">
        <f>IF(ISBLANK(fromA!B10),"ph", $A10&amp;", " &amp;B$1&amp;", " &amp;fromA!B10)</f>
        <v>2010, L1, 16.2</v>
      </c>
      <c r="C10" s="10" t="str">
        <f>IF(ISBLANK(fromA!C10),"ph", $A10&amp;", " &amp;C$1&amp;", " &amp;fromA!C10)</f>
        <v>2010, L2, 0.1</v>
      </c>
      <c r="D10" s="10" t="str">
        <f>IF(ISBLANK(fromA!D10),"ph", $A10&amp;", " &amp;D$1&amp;", " &amp;fromA!D10)</f>
        <v>2010, L3, 0</v>
      </c>
      <c r="E10" s="10" t="str">
        <f>IF(ISBLANK(fromA!E10),"ph", $A10&amp;", " &amp;E$1&amp;", " &amp;fromA!E10)</f>
        <v>2010, L4, 0.1</v>
      </c>
      <c r="F10" s="10" t="str">
        <f>IF(ISBLANK(fromA!F10),"ph", $A10&amp;", " &amp;F$1&amp;", " &amp;fromA!F10)</f>
        <v>2010, L5, 34.2</v>
      </c>
      <c r="G10" s="10" t="str">
        <f>IF(ISBLANK(fromA!G10),"ph", $A10&amp;", " &amp;G$1&amp;", " &amp;fromA!G10)</f>
        <v>2010, L6, 7.983</v>
      </c>
      <c r="H10" s="10" t="str">
        <f>IF(ISBLANK(fromA!H10),"ph", $A10&amp;", " &amp;H$1&amp;", " &amp;fromA!H10)</f>
        <v>ph</v>
      </c>
      <c r="I10" s="10" t="str">
        <f>IF(ISBLANK(fromA!I10),"ph", $A10&amp;", " &amp;I$1&amp;", " &amp;fromA!I10)</f>
        <v>ph</v>
      </c>
      <c r="J10" s="10" t="str">
        <f>IF(ISBLANK(fromA!J10),"ph", $A10&amp;", " &amp;J$1&amp;", " &amp;fromA!J10)</f>
        <v>ph</v>
      </c>
      <c r="K10" s="10" t="str">
        <f>IF(ISBLANK(fromA!K10),"ph", $A10&amp;", " &amp;K$1&amp;", " &amp;fromA!K10)</f>
        <v>ph</v>
      </c>
      <c r="L10" s="10" t="str">
        <f>IF(ISBLANK(fromA!L10),"ph", $A10&amp;", " &amp;L$1&amp;", " &amp;fromA!L10)</f>
        <v>ph</v>
      </c>
      <c r="M10" s="10" t="str">
        <f>IF(ISBLANK(fromA!M10),"ph", $A10&amp;", " &amp;M$1&amp;", " &amp;fromA!M10)</f>
        <v>ph</v>
      </c>
      <c r="N10" s="10" t="str">
        <f>IF(ISBLANK(fromA!N10),"ph", $A10&amp;", " &amp;N$1&amp;", " &amp;fromA!N10)</f>
        <v>ph</v>
      </c>
      <c r="O10" s="10" t="str">
        <f>IF(ISBLANK(fromA!O10),"ph", $A10&amp;", " &amp;O$1&amp;", " &amp;fromA!O10)</f>
        <v>ph</v>
      </c>
      <c r="P10" s="10" t="str">
        <f>IF(ISBLANK(fromA!Q10), " ", $A10&amp;", " &amp;P$1&amp;", " &amp;fromA!Q10)</f>
        <v xml:space="preserve"> </v>
      </c>
      <c r="Q10" s="10" t="str">
        <f>IF(ISBLANK(fromA!R10), " ", $A10&amp;", " &amp;Q$1&amp;", " &amp;fromA!R10)</f>
        <v xml:space="preserve"> </v>
      </c>
      <c r="R10" s="10" t="str">
        <f>IF(ISBLANK(fromA!S10), " ", $A10&amp;", " &amp;R$1&amp;", " &amp;fromA!S10)</f>
        <v xml:space="preserve"> </v>
      </c>
      <c r="S10" s="10" t="str">
        <f>IF(ISBLANK(fromA!T10), " ", $A10&amp;", " &amp;S$1&amp;", " &amp;fromA!T10)</f>
        <v xml:space="preserve"> </v>
      </c>
      <c r="T10" s="10" t="str">
        <f>IF(ISBLANK(fromA!U10), " ", $A10&amp;", " &amp;T$1&amp;", " &amp;fromA!U10)</f>
        <v xml:space="preserve"> </v>
      </c>
      <c r="U10" s="10" t="str">
        <f>IF(ISBLANK(fromA!V10), " ", $A10&amp;", " &amp;U$1&amp;", " &amp;fromA!V10)</f>
        <v xml:space="preserve"> </v>
      </c>
      <c r="V10" s="10" t="str">
        <f>IF(ISBLANK(fromA!W10), " ", $A10&amp;", " &amp;V$1&amp;", " &amp;fromA!W10)</f>
        <v xml:space="preserve"> </v>
      </c>
      <c r="W10" s="10" t="str">
        <f>IF(ISBLANK(fromA!X10), " ", $A10&amp;", " &amp;W$1&amp;", " &amp;fromA!X10)</f>
        <v xml:space="preserve"> </v>
      </c>
      <c r="X10" s="10" t="str">
        <f>IF(ISBLANK(fromA!Y10), " ", $A10&amp;", " &amp;X$1&amp;", " &amp;fromA!Y10)</f>
        <v xml:space="preserve"> </v>
      </c>
      <c r="Y10" s="10" t="str">
        <f>IF(ISBLANK(fromA!Z10), " ", $A10&amp;", " &amp;Y$1&amp;", " &amp;fromA!Z10)</f>
        <v xml:space="preserve"> </v>
      </c>
    </row>
    <row r="11" spans="1:25">
      <c r="A11" s="4">
        <v>2012</v>
      </c>
      <c r="B11" s="10" t="str">
        <f>IF(ISBLANK(fromA!B11),"ph", $A11&amp;", " &amp;B$1&amp;", " &amp;fromA!B11)</f>
        <v>2012, L1, 30.5</v>
      </c>
      <c r="C11" s="10" t="str">
        <f>IF(ISBLANK(fromA!C11),"ph", $A11&amp;", " &amp;C$1&amp;", " &amp;fromA!C11)</f>
        <v>2012, L2, 5</v>
      </c>
      <c r="D11" s="10" t="str">
        <f>IF(ISBLANK(fromA!D11),"ph", $A11&amp;", " &amp;D$1&amp;", " &amp;fromA!D11)</f>
        <v>2012, L3, 0</v>
      </c>
      <c r="E11" s="10" t="str">
        <f>IF(ISBLANK(fromA!E11),"ph", $A11&amp;", " &amp;E$1&amp;", " &amp;fromA!E11)</f>
        <v>2012, L4, 15.1</v>
      </c>
      <c r="F11" s="10" t="str">
        <f>IF(ISBLANK(fromA!F11),"ph", $A11&amp;", " &amp;F$1&amp;", " &amp;fromA!F11)</f>
        <v>ph</v>
      </c>
      <c r="G11" s="10" t="str">
        <f>IF(ISBLANK(fromA!G11),"ph", $A11&amp;", " &amp;G$1&amp;", " &amp;fromA!G11)</f>
        <v>ph</v>
      </c>
      <c r="H11" s="10" t="str">
        <f>IF(ISBLANK(fromA!H11),"ph", $A11&amp;", " &amp;H$1&amp;", " &amp;fromA!H11)</f>
        <v>ph</v>
      </c>
      <c r="I11" s="10" t="str">
        <f>IF(ISBLANK(fromA!I11),"ph", $A11&amp;", " &amp;I$1&amp;", " &amp;fromA!I11)</f>
        <v>ph</v>
      </c>
      <c r="J11" s="10" t="str">
        <f>IF(ISBLANK(fromA!J11),"ph", $A11&amp;", " &amp;J$1&amp;", " &amp;fromA!J11)</f>
        <v>ph</v>
      </c>
      <c r="K11" s="10" t="str">
        <f>IF(ISBLANK(fromA!K11),"ph", $A11&amp;", " &amp;K$1&amp;", " &amp;fromA!K11)</f>
        <v>ph</v>
      </c>
      <c r="L11" s="10" t="str">
        <f>IF(ISBLANK(fromA!L11),"ph", $A11&amp;", " &amp;L$1&amp;", " &amp;fromA!L11)</f>
        <v>ph</v>
      </c>
      <c r="M11" s="10" t="str">
        <f>IF(ISBLANK(fromA!M11),"ph", $A11&amp;", " &amp;M$1&amp;", " &amp;fromA!M11)</f>
        <v>ph</v>
      </c>
      <c r="N11" s="10" t="str">
        <f>IF(ISBLANK(fromA!N11),"ph", $A11&amp;", " &amp;N$1&amp;", " &amp;fromA!N11)</f>
        <v>ph</v>
      </c>
      <c r="O11" s="10" t="str">
        <f>IF(ISBLANK(fromA!O11),"ph", $A11&amp;", " &amp;O$1&amp;", " &amp;fromA!O11)</f>
        <v>ph</v>
      </c>
      <c r="P11" s="10" t="str">
        <f>IF(ISBLANK(fromA!Q11), " ", $A11&amp;", " &amp;P$1&amp;", " &amp;fromA!Q11)</f>
        <v xml:space="preserve"> </v>
      </c>
      <c r="Q11" s="10" t="str">
        <f>IF(ISBLANK(fromA!R11), " ", $A11&amp;", " &amp;Q$1&amp;", " &amp;fromA!R11)</f>
        <v xml:space="preserve"> </v>
      </c>
      <c r="R11" s="10" t="str">
        <f>IF(ISBLANK(fromA!S11), " ", $A11&amp;", " &amp;R$1&amp;", " &amp;fromA!S11)</f>
        <v xml:space="preserve"> </v>
      </c>
      <c r="S11" s="10" t="str">
        <f>IF(ISBLANK(fromA!T11), " ", $A11&amp;", " &amp;S$1&amp;", " &amp;fromA!T11)</f>
        <v xml:space="preserve"> </v>
      </c>
      <c r="T11" s="10" t="str">
        <f>IF(ISBLANK(fromA!U11), " ", $A11&amp;", " &amp;T$1&amp;", " &amp;fromA!U11)</f>
        <v xml:space="preserve"> </v>
      </c>
      <c r="U11" s="10" t="str">
        <f>IF(ISBLANK(fromA!V11), " ", $A11&amp;", " &amp;U$1&amp;", " &amp;fromA!V11)</f>
        <v xml:space="preserve"> </v>
      </c>
      <c r="V11" s="10" t="str">
        <f>IF(ISBLANK(fromA!W11), " ", $A11&amp;", " &amp;V$1&amp;", " &amp;fromA!W11)</f>
        <v xml:space="preserve"> </v>
      </c>
      <c r="W11" s="10" t="str">
        <f>IF(ISBLANK(fromA!X11), " ", $A11&amp;", " &amp;W$1&amp;", " &amp;fromA!X11)</f>
        <v xml:space="preserve"> </v>
      </c>
      <c r="X11" s="10" t="str">
        <f>IF(ISBLANK(fromA!Y11), " ", $A11&amp;", " &amp;X$1&amp;", " &amp;fromA!Y11)</f>
        <v xml:space="preserve"> </v>
      </c>
      <c r="Y11" s="10" t="str">
        <f>IF(ISBLANK(fromA!Z11), " ", $A11&amp;", " &amp;Y$1&amp;", " &amp;fromA!Z11)</f>
        <v xml:space="preserve"> 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5"/>
  <sheetViews>
    <sheetView zoomScale="85" zoomScaleNormal="85" workbookViewId="0">
      <selection activeCell="M17" sqref="M17"/>
    </sheetView>
  </sheetViews>
  <sheetFormatPr defaultRowHeight="15"/>
  <cols>
    <col min="1" max="1" width="14.7109375" style="4" bestFit="1" customWidth="1"/>
    <col min="2" max="2" width="13.7109375" style="4" bestFit="1" customWidth="1"/>
    <col min="3" max="3" width="14.7109375" style="4" bestFit="1" customWidth="1"/>
    <col min="4" max="4" width="13.7109375" style="4" bestFit="1" customWidth="1"/>
    <col min="5" max="5" width="14.7109375" style="4" bestFit="1" customWidth="1"/>
    <col min="6" max="6" width="13.7109375" style="4" bestFit="1" customWidth="1"/>
    <col min="7" max="7" width="10" style="4" bestFit="1" customWidth="1"/>
    <col min="8" max="8" width="11.5703125" style="4" bestFit="1" customWidth="1"/>
    <col min="9" max="9" width="10" style="4" bestFit="1" customWidth="1"/>
    <col min="10" max="13" width="11" style="4" bestFit="1" customWidth="1"/>
    <col min="14" max="14" width="12.5703125" style="4" bestFit="1" customWidth="1"/>
    <col min="15" max="16" width="9.140625" style="4"/>
    <col min="17" max="17" width="15.85546875" style="4" bestFit="1" customWidth="1"/>
    <col min="18" max="16384" width="9.140625" style="4"/>
  </cols>
  <sheetData>
    <row r="1" spans="1:14">
      <c r="A1" s="4" t="s">
        <v>130</v>
      </c>
      <c r="B1" s="4" t="s">
        <v>131</v>
      </c>
      <c r="C1" s="4" t="s">
        <v>132</v>
      </c>
      <c r="D1" s="4" t="s">
        <v>133</v>
      </c>
      <c r="E1" s="4" t="s">
        <v>134</v>
      </c>
      <c r="F1" s="4" t="s">
        <v>134</v>
      </c>
      <c r="G1" s="4" t="s">
        <v>134</v>
      </c>
      <c r="H1" s="4" t="s">
        <v>134</v>
      </c>
      <c r="I1" s="4" t="s">
        <v>134</v>
      </c>
      <c r="J1" s="4" t="s">
        <v>134</v>
      </c>
      <c r="K1" s="4" t="s">
        <v>134</v>
      </c>
      <c r="L1" s="4" t="s">
        <v>134</v>
      </c>
      <c r="M1" s="4" t="s">
        <v>134</v>
      </c>
      <c r="N1" s="4" t="s">
        <v>134</v>
      </c>
    </row>
    <row r="2" spans="1:14">
      <c r="A2" s="4" t="s">
        <v>135</v>
      </c>
      <c r="B2" s="4" t="s">
        <v>136</v>
      </c>
      <c r="C2" s="4" t="s">
        <v>134</v>
      </c>
      <c r="D2" s="4" t="s">
        <v>134</v>
      </c>
      <c r="E2" s="4" t="s">
        <v>134</v>
      </c>
      <c r="F2" s="4" t="s">
        <v>134</v>
      </c>
      <c r="G2" s="4" t="s">
        <v>134</v>
      </c>
      <c r="H2" s="4" t="s">
        <v>134</v>
      </c>
      <c r="I2" s="4" t="s">
        <v>134</v>
      </c>
      <c r="J2" s="4" t="s">
        <v>134</v>
      </c>
      <c r="K2" s="4" t="s">
        <v>134</v>
      </c>
      <c r="L2" s="4" t="s">
        <v>134</v>
      </c>
      <c r="M2" s="4" t="s">
        <v>134</v>
      </c>
      <c r="N2" s="4" t="s">
        <v>134</v>
      </c>
    </row>
    <row r="3" spans="1:14">
      <c r="A3" s="4" t="s">
        <v>137</v>
      </c>
      <c r="B3" s="4" t="s">
        <v>138</v>
      </c>
      <c r="C3" s="4" t="s">
        <v>134</v>
      </c>
      <c r="D3" s="4" t="s">
        <v>134</v>
      </c>
      <c r="E3" s="4" t="s">
        <v>134</v>
      </c>
      <c r="F3" s="4" t="s">
        <v>134</v>
      </c>
      <c r="G3" s="4" t="s">
        <v>134</v>
      </c>
      <c r="H3" s="4" t="s">
        <v>134</v>
      </c>
      <c r="I3" s="4" t="s">
        <v>134</v>
      </c>
      <c r="J3" s="4" t="s">
        <v>134</v>
      </c>
      <c r="K3" s="4" t="s">
        <v>134</v>
      </c>
      <c r="L3" s="4" t="s">
        <v>134</v>
      </c>
      <c r="M3" s="4" t="s">
        <v>134</v>
      </c>
      <c r="N3" s="4" t="s">
        <v>134</v>
      </c>
    </row>
    <row r="4" spans="1:14">
      <c r="A4" s="4" t="s">
        <v>139</v>
      </c>
      <c r="B4" s="4" t="s">
        <v>140</v>
      </c>
      <c r="C4" s="4" t="s">
        <v>141</v>
      </c>
      <c r="D4" s="4" t="s">
        <v>142</v>
      </c>
      <c r="E4" s="4" t="s">
        <v>143</v>
      </c>
      <c r="F4" s="4" t="s">
        <v>144</v>
      </c>
      <c r="G4" s="4" t="s">
        <v>145</v>
      </c>
      <c r="H4" s="4" t="s">
        <v>146</v>
      </c>
      <c r="I4" s="4" t="s">
        <v>147</v>
      </c>
      <c r="J4" s="4" t="s">
        <v>148</v>
      </c>
      <c r="K4" s="4" t="s">
        <v>149</v>
      </c>
      <c r="L4" s="4" t="s">
        <v>150</v>
      </c>
      <c r="M4" s="4" t="s">
        <v>151</v>
      </c>
      <c r="N4" s="4" t="s">
        <v>152</v>
      </c>
    </row>
    <row r="5" spans="1:14">
      <c r="A5" s="4" t="s">
        <v>153</v>
      </c>
      <c r="B5" s="4" t="s">
        <v>154</v>
      </c>
      <c r="C5" s="4" t="s">
        <v>134</v>
      </c>
      <c r="D5" s="4" t="s">
        <v>134</v>
      </c>
      <c r="E5" s="4" t="s">
        <v>134</v>
      </c>
      <c r="F5" s="4" t="s">
        <v>134</v>
      </c>
      <c r="G5" s="4" t="s">
        <v>134</v>
      </c>
      <c r="H5" s="4" t="s">
        <v>134</v>
      </c>
      <c r="I5" s="4" t="s">
        <v>134</v>
      </c>
      <c r="J5" s="4" t="s">
        <v>134</v>
      </c>
      <c r="K5" s="4" t="s">
        <v>134</v>
      </c>
      <c r="L5" s="4" t="s">
        <v>134</v>
      </c>
      <c r="M5" s="4" t="s">
        <v>134</v>
      </c>
      <c r="N5" s="4" t="s">
        <v>134</v>
      </c>
    </row>
    <row r="6" spans="1:14">
      <c r="A6" s="4" t="s">
        <v>155</v>
      </c>
      <c r="B6" s="4" t="s">
        <v>156</v>
      </c>
      <c r="C6" s="4" t="s">
        <v>134</v>
      </c>
      <c r="D6" s="4" t="s">
        <v>134</v>
      </c>
      <c r="E6" s="4" t="s">
        <v>134</v>
      </c>
      <c r="F6" s="4" t="s">
        <v>134</v>
      </c>
      <c r="G6" s="4" t="s">
        <v>134</v>
      </c>
      <c r="H6" s="4" t="s">
        <v>134</v>
      </c>
      <c r="I6" s="4" t="s">
        <v>134</v>
      </c>
      <c r="J6" s="4" t="s">
        <v>134</v>
      </c>
      <c r="K6" s="4" t="s">
        <v>134</v>
      </c>
      <c r="L6" s="4" t="s">
        <v>134</v>
      </c>
      <c r="M6" s="4" t="s">
        <v>134</v>
      </c>
      <c r="N6" s="4" t="s">
        <v>134</v>
      </c>
    </row>
    <row r="7" spans="1:14">
      <c r="A7" s="4" t="s">
        <v>157</v>
      </c>
      <c r="B7" s="4" t="s">
        <v>158</v>
      </c>
      <c r="C7" s="4" t="s">
        <v>134</v>
      </c>
      <c r="D7" s="4" t="s">
        <v>134</v>
      </c>
      <c r="E7" s="4" t="s">
        <v>134</v>
      </c>
      <c r="F7" s="4" t="s">
        <v>134</v>
      </c>
      <c r="G7" s="4" t="s">
        <v>134</v>
      </c>
      <c r="H7" s="4" t="s">
        <v>134</v>
      </c>
      <c r="I7" s="4" t="s">
        <v>134</v>
      </c>
      <c r="J7" s="4" t="s">
        <v>134</v>
      </c>
      <c r="K7" s="4" t="s">
        <v>134</v>
      </c>
      <c r="L7" s="4" t="s">
        <v>134</v>
      </c>
      <c r="M7" s="4" t="s">
        <v>134</v>
      </c>
      <c r="N7" s="4" t="s">
        <v>134</v>
      </c>
    </row>
    <row r="8" spans="1:14">
      <c r="A8" s="4" t="s">
        <v>159</v>
      </c>
      <c r="B8" s="4" t="s">
        <v>160</v>
      </c>
      <c r="C8" s="4" t="s">
        <v>161</v>
      </c>
      <c r="D8" s="4" t="s">
        <v>162</v>
      </c>
      <c r="E8" s="4" t="s">
        <v>134</v>
      </c>
      <c r="F8" s="4" t="s">
        <v>134</v>
      </c>
      <c r="G8" s="4" t="s">
        <v>134</v>
      </c>
      <c r="H8" s="4" t="s">
        <v>134</v>
      </c>
      <c r="I8" s="4" t="s">
        <v>134</v>
      </c>
      <c r="J8" s="4" t="s">
        <v>134</v>
      </c>
      <c r="K8" s="4" t="s">
        <v>134</v>
      </c>
      <c r="L8" s="4" t="s">
        <v>134</v>
      </c>
      <c r="M8" s="4" t="s">
        <v>134</v>
      </c>
      <c r="N8" s="4" t="s">
        <v>134</v>
      </c>
    </row>
    <row r="9" spans="1:14">
      <c r="A9" s="4" t="s">
        <v>163</v>
      </c>
      <c r="B9" s="4" t="s">
        <v>164</v>
      </c>
      <c r="C9" s="4" t="s">
        <v>165</v>
      </c>
      <c r="D9" s="4" t="s">
        <v>166</v>
      </c>
      <c r="E9" s="4" t="s">
        <v>167</v>
      </c>
      <c r="F9" s="4" t="s">
        <v>168</v>
      </c>
      <c r="G9" s="4" t="s">
        <v>134</v>
      </c>
      <c r="H9" s="4" t="s">
        <v>134</v>
      </c>
      <c r="I9" s="4" t="s">
        <v>134</v>
      </c>
      <c r="J9" s="4" t="s">
        <v>134</v>
      </c>
      <c r="K9" s="4" t="s">
        <v>134</v>
      </c>
      <c r="L9" s="4" t="s">
        <v>134</v>
      </c>
      <c r="M9" s="4" t="s">
        <v>134</v>
      </c>
      <c r="N9" s="4" t="s">
        <v>134</v>
      </c>
    </row>
    <row r="10" spans="1:14">
      <c r="A10" s="4" t="s">
        <v>169</v>
      </c>
      <c r="B10" s="4" t="s">
        <v>170</v>
      </c>
      <c r="C10" s="4" t="s">
        <v>171</v>
      </c>
      <c r="D10" s="4" t="s">
        <v>172</v>
      </c>
      <c r="E10" s="4" t="s">
        <v>134</v>
      </c>
      <c r="F10" s="4" t="s">
        <v>134</v>
      </c>
      <c r="G10" s="4" t="s">
        <v>134</v>
      </c>
      <c r="H10" s="4" t="s">
        <v>134</v>
      </c>
      <c r="I10" s="4" t="s">
        <v>134</v>
      </c>
      <c r="J10" s="4" t="s">
        <v>134</v>
      </c>
      <c r="K10" s="4" t="s">
        <v>134</v>
      </c>
      <c r="L10" s="4" t="s">
        <v>134</v>
      </c>
      <c r="M10" s="4" t="s">
        <v>134</v>
      </c>
      <c r="N10" s="4" t="s">
        <v>134</v>
      </c>
    </row>
    <row r="14" spans="1:14">
      <c r="A14" s="4" t="s">
        <v>130</v>
      </c>
    </row>
    <row r="15" spans="1:14">
      <c r="A15" s="4" t="s">
        <v>131</v>
      </c>
    </row>
    <row r="16" spans="1:14">
      <c r="A16" s="4" t="s">
        <v>132</v>
      </c>
    </row>
    <row r="17" spans="1:1">
      <c r="A17" s="4" t="s">
        <v>133</v>
      </c>
    </row>
    <row r="18" spans="1:1">
      <c r="A18" s="4" t="s">
        <v>135</v>
      </c>
    </row>
    <row r="19" spans="1:1">
      <c r="A19" s="4" t="s">
        <v>136</v>
      </c>
    </row>
    <row r="20" spans="1:1">
      <c r="A20" s="4" t="s">
        <v>137</v>
      </c>
    </row>
    <row r="21" spans="1:1">
      <c r="A21" s="4" t="s">
        <v>138</v>
      </c>
    </row>
    <row r="22" spans="1:1">
      <c r="A22" s="4" t="s">
        <v>139</v>
      </c>
    </row>
    <row r="23" spans="1:1">
      <c r="A23" s="4" t="s">
        <v>148</v>
      </c>
    </row>
    <row r="24" spans="1:1">
      <c r="A24" s="4" t="s">
        <v>149</v>
      </c>
    </row>
    <row r="25" spans="1:1">
      <c r="A25" s="4" t="s">
        <v>150</v>
      </c>
    </row>
    <row r="26" spans="1:1">
      <c r="A26" s="4" t="s">
        <v>151</v>
      </c>
    </row>
    <row r="27" spans="1:1">
      <c r="A27" s="4" t="s">
        <v>152</v>
      </c>
    </row>
    <row r="28" spans="1:1">
      <c r="A28" s="4" t="s">
        <v>140</v>
      </c>
    </row>
    <row r="29" spans="1:1">
      <c r="A29" s="4" t="s">
        <v>141</v>
      </c>
    </row>
    <row r="30" spans="1:1">
      <c r="A30" s="4" t="s">
        <v>142</v>
      </c>
    </row>
    <row r="31" spans="1:1">
      <c r="A31" s="4" t="s">
        <v>143</v>
      </c>
    </row>
    <row r="32" spans="1:1">
      <c r="A32" s="4" t="s">
        <v>144</v>
      </c>
    </row>
    <row r="33" spans="1:1">
      <c r="A33" s="4" t="s">
        <v>145</v>
      </c>
    </row>
    <row r="34" spans="1:1">
      <c r="A34" s="4" t="s">
        <v>146</v>
      </c>
    </row>
    <row r="35" spans="1:1">
      <c r="A35" s="4" t="s">
        <v>147</v>
      </c>
    </row>
    <row r="36" spans="1:1">
      <c r="A36" s="4" t="s">
        <v>153</v>
      </c>
    </row>
    <row r="37" spans="1:1">
      <c r="A37" s="4" t="s">
        <v>154</v>
      </c>
    </row>
    <row r="38" spans="1:1">
      <c r="A38" s="4" t="s">
        <v>155</v>
      </c>
    </row>
    <row r="39" spans="1:1">
      <c r="A39" s="4" t="s">
        <v>156</v>
      </c>
    </row>
    <row r="40" spans="1:1">
      <c r="A40" s="4" t="s">
        <v>157</v>
      </c>
    </row>
    <row r="41" spans="1:1">
      <c r="A41" s="4" t="s">
        <v>158</v>
      </c>
    </row>
    <row r="42" spans="1:1">
      <c r="A42" s="4" t="s">
        <v>159</v>
      </c>
    </row>
    <row r="43" spans="1:1">
      <c r="A43" s="4" t="s">
        <v>160</v>
      </c>
    </row>
    <row r="44" spans="1:1">
      <c r="A44" s="4" t="s">
        <v>161</v>
      </c>
    </row>
    <row r="45" spans="1:1">
      <c r="A45" s="4" t="s">
        <v>162</v>
      </c>
    </row>
    <row r="46" spans="1:1">
      <c r="A46" s="4" t="s">
        <v>163</v>
      </c>
    </row>
    <row r="47" spans="1:1">
      <c r="A47" s="4" t="s">
        <v>164</v>
      </c>
    </row>
    <row r="48" spans="1:1">
      <c r="A48" s="4" t="s">
        <v>165</v>
      </c>
    </row>
    <row r="49" spans="1:1">
      <c r="A49" s="4" t="s">
        <v>166</v>
      </c>
    </row>
    <row r="50" spans="1:1">
      <c r="A50" s="4" t="s">
        <v>167</v>
      </c>
    </row>
    <row r="51" spans="1:1">
      <c r="A51" s="4" t="s">
        <v>168</v>
      </c>
    </row>
    <row r="52" spans="1:1">
      <c r="A52" s="4" t="s">
        <v>169</v>
      </c>
    </row>
    <row r="53" spans="1:1">
      <c r="A53" s="4" t="s">
        <v>170</v>
      </c>
    </row>
    <row r="54" spans="1:1">
      <c r="A54" s="4" t="s">
        <v>171</v>
      </c>
    </row>
    <row r="55" spans="1:1">
      <c r="A55" s="4" t="s">
        <v>172</v>
      </c>
    </row>
  </sheetData>
  <sortState ref="A14:A55">
    <sortCondition ref="A1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</vt:lpstr>
      <vt:lpstr>sheet1</vt:lpstr>
      <vt:lpstr>index&amp;match</vt:lpstr>
      <vt:lpstr>AcuraIndexMatch-Vlookup</vt:lpstr>
      <vt:lpstr>vlookupmultipleresults</vt:lpstr>
      <vt:lpstr>tabletocolumn</vt:lpstr>
      <vt:lpstr>twocriterialookup</vt:lpstr>
      <vt:lpstr>fromA</vt:lpstr>
      <vt:lpstr>combineheadercontent</vt:lpstr>
      <vt:lpstr>rangetocolumn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Jing Hua Zhao</cp:lastModifiedBy>
  <dcterms:created xsi:type="dcterms:W3CDTF">2006-09-16T00:00:00Z</dcterms:created>
  <dcterms:modified xsi:type="dcterms:W3CDTF">2014-08-30T17:43:11Z</dcterms:modified>
</cp:coreProperties>
</file>