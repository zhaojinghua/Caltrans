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hq153\Desktop\Caltrans\for Hector\"/>
    </mc:Choice>
  </mc:AlternateContent>
  <bookViews>
    <workbookView xWindow="240" yWindow="105" windowWidth="14805" windowHeight="8010" activeTab="7"/>
  </bookViews>
  <sheets>
    <sheet name="data" sheetId="1" r:id="rId1"/>
    <sheet name="sheet1" sheetId="21" r:id="rId2"/>
    <sheet name="index&amp;match" sheetId="9" r:id="rId3"/>
    <sheet name="AcuraIndexMatch-Vlookup" sheetId="20" r:id="rId4"/>
    <sheet name="vlookupmultipleresults" sheetId="19" r:id="rId5"/>
    <sheet name="combineheadercontent" sheetId="15" r:id="rId6"/>
    <sheet name="tabletocolumn" sheetId="16" r:id="rId7"/>
    <sheet name="vlookup" sheetId="18" r:id="rId8"/>
  </sheets>
  <calcPr calcId="152511"/>
</workbook>
</file>

<file path=xl/calcChain.xml><?xml version="1.0" encoding="utf-8"?>
<calcChain xmlns="http://schemas.openxmlformats.org/spreadsheetml/2006/main">
  <c r="B11" i="19" l="1" a="1"/>
  <c r="B11" i="19" s="1"/>
  <c r="B12" i="19" a="1"/>
  <c r="B12" i="19" s="1"/>
  <c r="B16" i="19" a="1"/>
  <c r="B16" i="19" s="1"/>
  <c r="B17" i="19" a="1"/>
  <c r="B17" i="19" s="1"/>
  <c r="B18" i="19" a="1"/>
  <c r="B18" i="19" s="1"/>
  <c r="B13" i="19" a="1"/>
  <c r="B13" i="19"/>
  <c r="B14" i="19" a="1"/>
  <c r="B14" i="19" s="1"/>
  <c r="B15" i="19" a="1"/>
  <c r="B15" i="19"/>
  <c r="C2" i="19"/>
  <c r="C3" i="19"/>
  <c r="C4" i="19"/>
  <c r="C5" i="19"/>
  <c r="C6" i="19"/>
  <c r="C7" i="19"/>
  <c r="C8" i="19"/>
  <c r="L24" i="18" a="1"/>
  <c r="L24" i="18" s="1"/>
  <c r="L25" i="18" a="1"/>
  <c r="L25" i="18" s="1"/>
  <c r="L26" i="18" a="1"/>
  <c r="L26" i="18" s="1"/>
  <c r="L27" i="18" a="1"/>
  <c r="L27" i="18" s="1"/>
  <c r="L28" i="18" a="1"/>
  <c r="L28" i="18" s="1"/>
  <c r="L29" i="18" a="1"/>
  <c r="L29" i="18" s="1"/>
  <c r="L30" i="18" a="1"/>
  <c r="L30" i="18" s="1"/>
  <c r="L31" i="18" a="1"/>
  <c r="L31" i="18" s="1"/>
  <c r="K24" i="18" a="1"/>
  <c r="K24" i="18" s="1"/>
  <c r="K25" i="18" a="1"/>
  <c r="K25" i="18" s="1"/>
  <c r="K26" i="18" a="1"/>
  <c r="K26" i="18" s="1"/>
  <c r="K27" i="18" a="1"/>
  <c r="K27" i="18" s="1"/>
  <c r="K28" i="18" a="1"/>
  <c r="K28" i="18" s="1"/>
  <c r="K29" i="18" a="1"/>
  <c r="K29" i="18" s="1"/>
  <c r="K30" i="18" a="1"/>
  <c r="K30" i="18" s="1"/>
  <c r="K31" i="18" a="1"/>
  <c r="K31" i="18" s="1"/>
  <c r="C2" i="15"/>
  <c r="C3" i="15" l="1"/>
  <c r="D3" i="15"/>
  <c r="C4" i="15"/>
  <c r="D4" i="15"/>
  <c r="C5" i="15"/>
  <c r="D5" i="15"/>
  <c r="C6" i="15"/>
  <c r="D6" i="15"/>
  <c r="C7" i="15"/>
  <c r="D7" i="15"/>
  <c r="C8" i="15"/>
  <c r="D8" i="15"/>
  <c r="C9" i="15"/>
  <c r="D9" i="15"/>
  <c r="D2" i="15"/>
  <c r="H1" i="16"/>
  <c r="C13" i="20" a="1"/>
  <c r="C13" i="20" s="1"/>
  <c r="B2" i="20"/>
  <c r="F15" i="9"/>
  <c r="N30" i="1" l="1"/>
  <c r="N31" i="1"/>
  <c r="N34" i="1"/>
  <c r="N35" i="1"/>
  <c r="N36" i="1"/>
  <c r="N37" i="1"/>
  <c r="M33" i="1" l="1"/>
  <c r="N33" i="1" s="1"/>
  <c r="M32" i="1"/>
  <c r="N32" i="1" s="1"/>
  <c r="H2" i="16" l="1"/>
  <c r="H3" i="16"/>
  <c r="H4" i="16"/>
  <c r="H5" i="16"/>
  <c r="H6" i="16"/>
  <c r="H7" i="16"/>
  <c r="H8" i="16"/>
  <c r="H9" i="16"/>
  <c r="H10" i="16"/>
  <c r="H11" i="16"/>
  <c r="H12" i="16"/>
  <c r="H13" i="16"/>
  <c r="H14" i="16"/>
  <c r="H15" i="16"/>
  <c r="H16" i="16"/>
  <c r="H17" i="16"/>
  <c r="H18" i="16"/>
  <c r="H19" i="16"/>
  <c r="H20" i="16"/>
  <c r="H21" i="16"/>
  <c r="H22" i="16"/>
  <c r="H23" i="16"/>
  <c r="H24" i="16"/>
  <c r="H25" i="16"/>
  <c r="H26" i="16"/>
  <c r="H27" i="16"/>
  <c r="H28" i="16"/>
  <c r="H29" i="16"/>
  <c r="H30" i="16"/>
  <c r="H31" i="16"/>
  <c r="H32" i="16"/>
  <c r="H33" i="16"/>
  <c r="H34" i="16"/>
  <c r="H35" i="16"/>
  <c r="H36" i="16"/>
  <c r="H37" i="16"/>
  <c r="H38" i="16"/>
  <c r="H39" i="16"/>
  <c r="H40" i="16"/>
  <c r="H41" i="16"/>
  <c r="H42" i="16"/>
  <c r="H43" i="16"/>
  <c r="H44" i="16"/>
  <c r="H45" i="16"/>
  <c r="H46" i="16"/>
  <c r="H47" i="16"/>
  <c r="H48" i="16"/>
  <c r="E3" i="9" l="1"/>
  <c r="E3" i="15" s="1"/>
  <c r="F3" i="9"/>
  <c r="F3" i="15" s="1"/>
  <c r="G3" i="9"/>
  <c r="G3" i="15" s="1"/>
  <c r="H3" i="9"/>
  <c r="H3" i="15" s="1"/>
  <c r="E4" i="9"/>
  <c r="E4" i="15" s="1"/>
  <c r="F4" i="9"/>
  <c r="F4" i="15" s="1"/>
  <c r="G4" i="9"/>
  <c r="G4" i="15" s="1"/>
  <c r="H4" i="9"/>
  <c r="H4" i="15" s="1"/>
  <c r="E5" i="9"/>
  <c r="E5" i="15" s="1"/>
  <c r="F5" i="9"/>
  <c r="F5" i="15" s="1"/>
  <c r="G5" i="9"/>
  <c r="G5" i="15" s="1"/>
  <c r="H5" i="9"/>
  <c r="H5" i="15" s="1"/>
  <c r="E6" i="9"/>
  <c r="E6" i="15" s="1"/>
  <c r="F6" i="9"/>
  <c r="F6" i="15" s="1"/>
  <c r="G6" i="9"/>
  <c r="G6" i="15" s="1"/>
  <c r="H6" i="9"/>
  <c r="H6" i="15" s="1"/>
  <c r="E7" i="9"/>
  <c r="E7" i="15" s="1"/>
  <c r="F7" i="9"/>
  <c r="F7" i="15" s="1"/>
  <c r="G7" i="9"/>
  <c r="G7" i="15" s="1"/>
  <c r="H7" i="9"/>
  <c r="H7" i="15" s="1"/>
  <c r="E8" i="9"/>
  <c r="E8" i="15" s="1"/>
  <c r="F8" i="9"/>
  <c r="F8" i="15" s="1"/>
  <c r="G8" i="9"/>
  <c r="G8" i="15" s="1"/>
  <c r="H8" i="9"/>
  <c r="H8" i="15" s="1"/>
  <c r="E9" i="9"/>
  <c r="E9" i="15" s="1"/>
  <c r="F9" i="9"/>
  <c r="F9" i="15" s="1"/>
  <c r="G9" i="9"/>
  <c r="G9" i="15" s="1"/>
  <c r="H9" i="9"/>
  <c r="H9" i="15" s="1"/>
  <c r="E2" i="9"/>
  <c r="E2" i="15" s="1"/>
  <c r="F2" i="9"/>
  <c r="F2" i="15" s="1"/>
  <c r="G2" i="9"/>
  <c r="G2" i="15" s="1"/>
  <c r="H2" i="9"/>
  <c r="H2" i="15" s="1"/>
  <c r="J2" i="9" l="1"/>
  <c r="I2" i="9"/>
  <c r="I3" i="9" l="1"/>
  <c r="I4" i="9"/>
  <c r="I5" i="9"/>
  <c r="I6" i="9"/>
  <c r="I7" i="9"/>
  <c r="I8" i="9"/>
  <c r="I9" i="9"/>
</calcChain>
</file>

<file path=xl/sharedStrings.xml><?xml version="1.0" encoding="utf-8"?>
<sst xmlns="http://schemas.openxmlformats.org/spreadsheetml/2006/main" count="540" uniqueCount="139">
  <si>
    <t>Year</t>
  </si>
  <si>
    <t>Length</t>
  </si>
  <si>
    <t>Info</t>
  </si>
  <si>
    <t>L1</t>
  </si>
  <si>
    <t xml:space="preserve"> L2</t>
  </si>
  <si>
    <t xml:space="preserve"> L3</t>
  </si>
  <si>
    <t xml:space="preserve"> L4</t>
  </si>
  <si>
    <t>LenNumber</t>
  </si>
  <si>
    <t xml:space="preserve"> L5</t>
  </si>
  <si>
    <t xml:space="preserve"> L6</t>
  </si>
  <si>
    <t xml:space="preserve"> L7</t>
  </si>
  <si>
    <t xml:space="preserve"> L8</t>
  </si>
  <si>
    <t xml:space="preserve"> L9</t>
  </si>
  <si>
    <t xml:space="preserve"> L10</t>
  </si>
  <si>
    <t xml:space="preserve"> L11</t>
  </si>
  <si>
    <t xml:space="preserve"> L12</t>
  </si>
  <si>
    <t xml:space="preserve"> L13</t>
  </si>
  <si>
    <t xml:space="preserve"> L14</t>
  </si>
  <si>
    <t>EA</t>
  </si>
  <si>
    <t>TREATMENT</t>
  </si>
  <si>
    <t>COUNTY</t>
  </si>
  <si>
    <t>ROUTE</t>
  </si>
  <si>
    <t>YEAR</t>
  </si>
  <si>
    <t>BEG_PM</t>
  </si>
  <si>
    <t>END_PM</t>
  </si>
  <si>
    <t>LENGTH</t>
  </si>
  <si>
    <t>04-18973</t>
  </si>
  <si>
    <t>HMA Thin Overlay</t>
  </si>
  <si>
    <t>SON</t>
  </si>
  <si>
    <t>001</t>
  </si>
  <si>
    <t>04-19289</t>
  </si>
  <si>
    <t>04-1R110</t>
  </si>
  <si>
    <t>Chip Seal</t>
  </si>
  <si>
    <t>04-0C490</t>
  </si>
  <si>
    <t>HMA Thick Overlay</t>
  </si>
  <si>
    <t>04-0C350</t>
  </si>
  <si>
    <t>HMA Medium Overlay</t>
  </si>
  <si>
    <t>04-2R220</t>
  </si>
  <si>
    <t>Digouts</t>
  </si>
  <si>
    <t>04-0E300</t>
  </si>
  <si>
    <t>04-1E220</t>
  </si>
  <si>
    <t>04-1E730</t>
  </si>
  <si>
    <t>04-2E530</t>
  </si>
  <si>
    <t>04-19246</t>
  </si>
  <si>
    <t>04-0C340</t>
  </si>
  <si>
    <t>04-1R610</t>
  </si>
  <si>
    <t>04-0E350</t>
  </si>
  <si>
    <t>04-2A630</t>
  </si>
  <si>
    <t>Product 1</t>
  </si>
  <si>
    <t>Product 2</t>
  </si>
  <si>
    <t>Product 3</t>
  </si>
  <si>
    <t>Product 4</t>
  </si>
  <si>
    <t>Product 5</t>
  </si>
  <si>
    <t>Product 6</t>
  </si>
  <si>
    <t>Top Product</t>
  </si>
  <si>
    <t>L2</t>
  </si>
  <si>
    <t>L3</t>
  </si>
  <si>
    <t>L4</t>
  </si>
  <si>
    <t>L5</t>
  </si>
  <si>
    <t>L6</t>
  </si>
  <si>
    <t>treatment 1</t>
  </si>
  <si>
    <t>treatment 2</t>
  </si>
  <si>
    <t>treatment 3</t>
  </si>
  <si>
    <t>treatment 4</t>
  </si>
  <si>
    <t>EA000001</t>
  </si>
  <si>
    <t>EA000002</t>
  </si>
  <si>
    <t>EA000003</t>
  </si>
  <si>
    <t>EA000004</t>
  </si>
  <si>
    <t>EA000005</t>
  </si>
  <si>
    <t>EA000006</t>
  </si>
  <si>
    <t>EA000007</t>
  </si>
  <si>
    <t>EA000008</t>
  </si>
  <si>
    <t>EA000009</t>
  </si>
  <si>
    <t>EA000010</t>
  </si>
  <si>
    <t>EA000011</t>
  </si>
  <si>
    <t>EA000012</t>
  </si>
  <si>
    <t>EA000013</t>
  </si>
  <si>
    <t>EA000014</t>
  </si>
  <si>
    <t>EA000015</t>
  </si>
  <si>
    <t>EA000016</t>
  </si>
  <si>
    <t>EA000017</t>
  </si>
  <si>
    <t>EA000018</t>
  </si>
  <si>
    <t>EA000019</t>
  </si>
  <si>
    <t>EA000020</t>
  </si>
  <si>
    <t>EA000021</t>
  </si>
  <si>
    <t>EA000022</t>
  </si>
  <si>
    <t>EA000023</t>
  </si>
  <si>
    <t>EA000024</t>
  </si>
  <si>
    <t xml:space="preserve"> L1</t>
  </si>
  <si>
    <t xml:space="preserve"> Treatment 01</t>
  </si>
  <si>
    <t xml:space="preserve"> Treatment 02</t>
  </si>
  <si>
    <t xml:space="preserve"> Treatment 03</t>
  </si>
  <si>
    <t xml:space="preserve"> Treatment 04</t>
  </si>
  <si>
    <t xml:space="preserve"> Treatment 05</t>
  </si>
  <si>
    <t xml:space="preserve"> Treatment 06</t>
  </si>
  <si>
    <t xml:space="preserve"> Treatment 07</t>
  </si>
  <si>
    <t xml:space="preserve"> Treatment 08</t>
  </si>
  <si>
    <t>LenNum</t>
  </si>
  <si>
    <t>MatchFunc</t>
  </si>
  <si>
    <t xml:space="preserve">Match </t>
  </si>
  <si>
    <t>Oranges</t>
  </si>
  <si>
    <t>Apples</t>
  </si>
  <si>
    <t>Pears</t>
  </si>
  <si>
    <t>Grapes</t>
  </si>
  <si>
    <t>Model</t>
  </si>
  <si>
    <t>ILX</t>
  </si>
  <si>
    <t>Combined Economy</t>
  </si>
  <si>
    <t>Make</t>
  </si>
  <si>
    <t>Acura</t>
  </si>
  <si>
    <t>MDX 2WD</t>
  </si>
  <si>
    <t>Disp</t>
  </si>
  <si>
    <t>#Cyl</t>
  </si>
  <si>
    <t>City</t>
  </si>
  <si>
    <t>Hwy</t>
  </si>
  <si>
    <t>Comb</t>
  </si>
  <si>
    <t>Name</t>
  </si>
  <si>
    <t>Age</t>
  </si>
  <si>
    <t>Mon</t>
  </si>
  <si>
    <t>Tue</t>
  </si>
  <si>
    <t>Wed</t>
  </si>
  <si>
    <t>Thu</t>
  </si>
  <si>
    <t>L7</t>
  </si>
  <si>
    <t>L8</t>
  </si>
  <si>
    <t>L9</t>
  </si>
  <si>
    <t>L10</t>
  </si>
  <si>
    <t>L11</t>
  </si>
  <si>
    <t>L12</t>
  </si>
  <si>
    <t>L13</t>
  </si>
  <si>
    <t>L14</t>
  </si>
  <si>
    <t>L15</t>
  </si>
  <si>
    <t>L16</t>
  </si>
  <si>
    <t>L17</t>
  </si>
  <si>
    <t>L18</t>
  </si>
  <si>
    <t>L19</t>
  </si>
  <si>
    <t>L20</t>
  </si>
  <si>
    <t>L21</t>
  </si>
  <si>
    <t>L22</t>
  </si>
  <si>
    <t>L23</t>
  </si>
  <si>
    <t>L24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</si>
</sst>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>
    <font>
      <sz val="11"/>
      <color theme="1"/>
      <name val="Calibri"/>
      <family val="2"/>
      <scheme val="minor"/>
    </font>
    <font>
      <sz val="11"/>
      <name val="Dialog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NumberFormat="1"/>
    <xf numFmtId="0" fontId="1" fillId="0" borderId="0" xfId="0" applyFont="1" applyAlignment="1">
      <alignment horizontal="right"/>
    </xf>
    <xf numFmtId="2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/>
    <xf numFmtId="2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71"/>
  <sheetViews>
    <sheetView zoomScaleNormal="100" workbookViewId="0">
      <selection activeCell="H16" sqref="H16"/>
    </sheetView>
  </sheetViews>
  <sheetFormatPr defaultRowHeight="15"/>
  <cols>
    <col min="1" max="1" width="10.7109375" customWidth="1"/>
    <col min="2" max="2" width="22.5703125" customWidth="1"/>
    <col min="3" max="3" width="10.28515625" customWidth="1"/>
    <col min="4" max="4" width="19.42578125" customWidth="1"/>
    <col min="5" max="5" width="12.5703125" customWidth="1"/>
    <col min="6" max="6" width="9" bestFit="1" customWidth="1"/>
    <col min="7" max="7" width="14.140625" customWidth="1"/>
    <col min="8" max="8" width="8.28515625" bestFit="1" customWidth="1"/>
    <col min="9" max="9" width="7" bestFit="1" customWidth="1"/>
    <col min="10" max="10" width="5.5703125" bestFit="1" customWidth="1"/>
    <col min="11" max="11" width="8.42578125" bestFit="1" customWidth="1"/>
    <col min="12" max="12" width="8.5703125" bestFit="1" customWidth="1"/>
    <col min="13" max="13" width="8" bestFit="1" customWidth="1"/>
    <col min="14" max="14" width="22.5703125" customWidth="1"/>
    <col min="15" max="15" width="6.140625" bestFit="1" customWidth="1"/>
    <col min="16" max="16" width="7.140625" bestFit="1" customWidth="1"/>
    <col min="17" max="17" width="6.140625" bestFit="1" customWidth="1"/>
    <col min="18" max="18" width="7.140625" bestFit="1" customWidth="1"/>
    <col min="19" max="19" width="6.140625" bestFit="1" customWidth="1"/>
    <col min="20" max="20" width="3.5703125" bestFit="1" customWidth="1"/>
    <col min="21" max="21" width="4.140625" bestFit="1" customWidth="1"/>
    <col min="22" max="22" width="3.5703125" bestFit="1" customWidth="1"/>
    <col min="23" max="27" width="4.5703125" bestFit="1" customWidth="1"/>
  </cols>
  <sheetData>
    <row r="1" spans="1:28">
      <c r="A1" s="4" t="s">
        <v>0</v>
      </c>
      <c r="B1" s="4" t="s">
        <v>7</v>
      </c>
      <c r="C1" s="4" t="s">
        <v>1</v>
      </c>
      <c r="D1" s="4" t="s">
        <v>2</v>
      </c>
      <c r="E1" s="4" t="s">
        <v>18</v>
      </c>
      <c r="G1" s="4" t="s">
        <v>0</v>
      </c>
      <c r="H1" s="4" t="s">
        <v>3</v>
      </c>
      <c r="I1" s="4" t="s">
        <v>4</v>
      </c>
      <c r="J1" s="4" t="s">
        <v>5</v>
      </c>
      <c r="K1" s="4" t="s">
        <v>6</v>
      </c>
      <c r="L1" s="4" t="s">
        <v>8</v>
      </c>
      <c r="M1" s="4" t="s">
        <v>9</v>
      </c>
      <c r="N1" s="4" t="s">
        <v>10</v>
      </c>
      <c r="O1" s="4" t="s">
        <v>11</v>
      </c>
      <c r="P1" s="4" t="s">
        <v>12</v>
      </c>
      <c r="Q1" s="4" t="s">
        <v>13</v>
      </c>
      <c r="R1" s="4" t="s">
        <v>14</v>
      </c>
      <c r="S1" s="4" t="s">
        <v>15</v>
      </c>
      <c r="T1" s="4" t="s">
        <v>16</v>
      </c>
      <c r="U1" s="4" t="s">
        <v>17</v>
      </c>
    </row>
    <row r="2" spans="1:28">
      <c r="A2" s="4">
        <v>1993</v>
      </c>
      <c r="B2" s="4" t="s">
        <v>3</v>
      </c>
      <c r="C2" s="4">
        <v>10.039999999999999</v>
      </c>
      <c r="D2" s="4" t="s">
        <v>60</v>
      </c>
      <c r="E2" s="4" t="s">
        <v>64</v>
      </c>
      <c r="G2" s="4">
        <v>1992</v>
      </c>
      <c r="H2" s="4">
        <v>10</v>
      </c>
      <c r="I2" s="4">
        <v>1.07</v>
      </c>
      <c r="J2" s="4">
        <v>39.53</v>
      </c>
      <c r="K2" s="4">
        <v>7.9829999999999997</v>
      </c>
      <c r="L2" s="4"/>
      <c r="M2" s="4"/>
      <c r="N2" s="4"/>
      <c r="O2" s="4"/>
      <c r="P2" s="4"/>
      <c r="Q2" s="4"/>
      <c r="R2" s="4"/>
      <c r="S2" s="4"/>
      <c r="T2" s="4"/>
      <c r="U2" s="4"/>
    </row>
    <row r="3" spans="1:28">
      <c r="A3" s="4">
        <v>2001</v>
      </c>
      <c r="B3" s="4" t="s">
        <v>3</v>
      </c>
      <c r="C3" s="4"/>
      <c r="D3" s="4" t="s">
        <v>61</v>
      </c>
      <c r="E3" s="4" t="s">
        <v>65</v>
      </c>
      <c r="G3" s="4">
        <v>1993</v>
      </c>
      <c r="H3" s="4">
        <v>24.524000000000001</v>
      </c>
      <c r="I3" s="4">
        <v>1.776</v>
      </c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</row>
    <row r="4" spans="1:28">
      <c r="A4" s="4">
        <v>2005</v>
      </c>
      <c r="B4" s="4" t="s">
        <v>3</v>
      </c>
      <c r="C4" s="4">
        <v>6.7770000000000001</v>
      </c>
      <c r="D4" s="4" t="s">
        <v>62</v>
      </c>
      <c r="E4" s="4" t="s">
        <v>66</v>
      </c>
      <c r="G4" s="4">
        <v>2000</v>
      </c>
      <c r="H4" s="4">
        <v>50.6</v>
      </c>
      <c r="I4" s="4">
        <v>7.9829999999999997</v>
      </c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</row>
    <row r="5" spans="1:28">
      <c r="A5" s="4">
        <v>2008</v>
      </c>
      <c r="B5" s="4" t="s">
        <v>3</v>
      </c>
      <c r="C5" s="4">
        <v>8.5670000000000002</v>
      </c>
      <c r="D5" s="4" t="s">
        <v>63</v>
      </c>
      <c r="E5" s="4" t="s">
        <v>67</v>
      </c>
      <c r="G5" s="4">
        <v>2001</v>
      </c>
      <c r="H5" s="4">
        <v>0</v>
      </c>
      <c r="I5" s="4">
        <v>8.1999999999999993</v>
      </c>
      <c r="J5" s="4">
        <v>0</v>
      </c>
      <c r="K5" s="4">
        <v>4.2859999999999996</v>
      </c>
      <c r="L5" s="4">
        <v>23.013999999999999</v>
      </c>
      <c r="M5" s="4">
        <v>4</v>
      </c>
      <c r="N5" s="4">
        <v>0</v>
      </c>
      <c r="O5" s="4">
        <v>2.5</v>
      </c>
      <c r="P5" s="4">
        <v>0</v>
      </c>
      <c r="Q5" s="4">
        <v>1</v>
      </c>
      <c r="R5" s="4">
        <v>0</v>
      </c>
      <c r="S5" s="4">
        <v>5</v>
      </c>
      <c r="T5" s="4">
        <v>0</v>
      </c>
      <c r="U5" s="4">
        <v>2.6</v>
      </c>
    </row>
    <row r="6" spans="1:28">
      <c r="A6" s="4">
        <v>2010</v>
      </c>
      <c r="B6" s="4" t="s">
        <v>3</v>
      </c>
      <c r="C6" s="4"/>
      <c r="D6" s="4" t="s">
        <v>60</v>
      </c>
      <c r="E6" s="4" t="s">
        <v>68</v>
      </c>
      <c r="G6" s="4">
        <v>2004</v>
      </c>
      <c r="H6" s="4">
        <v>16.100000000000001</v>
      </c>
      <c r="I6" s="4">
        <v>3.6150000000000002</v>
      </c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</row>
    <row r="7" spans="1:28">
      <c r="A7" s="4">
        <v>2011</v>
      </c>
      <c r="B7" s="4" t="s">
        <v>3</v>
      </c>
      <c r="C7" s="4"/>
      <c r="D7" s="4" t="s">
        <v>61</v>
      </c>
      <c r="E7" s="4" t="s">
        <v>69</v>
      </c>
      <c r="G7" s="4">
        <v>2005</v>
      </c>
      <c r="H7" s="4">
        <v>19.885000000000002</v>
      </c>
      <c r="I7" s="4">
        <v>5.1150000000000002</v>
      </c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</row>
    <row r="8" spans="1:28">
      <c r="A8" s="4">
        <v>1993</v>
      </c>
      <c r="B8" s="4" t="s">
        <v>4</v>
      </c>
      <c r="C8" s="4">
        <v>3.99</v>
      </c>
      <c r="D8" s="4" t="s">
        <v>62</v>
      </c>
      <c r="E8" s="4" t="s">
        <v>70</v>
      </c>
      <c r="G8" s="4">
        <v>2006</v>
      </c>
      <c r="H8" s="4">
        <v>50.6</v>
      </c>
      <c r="I8" s="4">
        <v>7.9829999999999997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</row>
    <row r="9" spans="1:28">
      <c r="A9" s="4">
        <v>2001</v>
      </c>
      <c r="B9" s="4" t="s">
        <v>4</v>
      </c>
      <c r="C9" s="4">
        <v>7.27</v>
      </c>
      <c r="D9" s="4" t="s">
        <v>63</v>
      </c>
      <c r="E9" s="4" t="s">
        <v>71</v>
      </c>
      <c r="G9" s="4">
        <v>2009</v>
      </c>
      <c r="H9" s="4">
        <v>19.885000000000002</v>
      </c>
      <c r="I9" s="4">
        <v>4.6189999999999998</v>
      </c>
      <c r="J9" s="4">
        <v>26.096</v>
      </c>
      <c r="K9" s="4">
        <v>7.9829999999999997</v>
      </c>
      <c r="L9" s="4"/>
      <c r="M9" s="4"/>
      <c r="N9" s="4"/>
      <c r="O9" s="4"/>
      <c r="P9" s="4"/>
      <c r="Q9" s="4"/>
      <c r="R9" s="4"/>
      <c r="S9" s="4"/>
      <c r="T9" s="4"/>
      <c r="U9" s="4"/>
    </row>
    <row r="10" spans="1:28">
      <c r="A10" s="4">
        <v>2005</v>
      </c>
      <c r="B10" s="4" t="s">
        <v>4</v>
      </c>
      <c r="C10" s="4">
        <v>11.15</v>
      </c>
      <c r="D10" s="4" t="s">
        <v>60</v>
      </c>
      <c r="E10" s="4" t="s">
        <v>72</v>
      </c>
      <c r="G10" s="4">
        <v>2010</v>
      </c>
      <c r="H10" s="4">
        <v>16.2</v>
      </c>
      <c r="I10" s="4">
        <v>0.1</v>
      </c>
      <c r="J10" s="4">
        <v>0</v>
      </c>
      <c r="K10" s="4">
        <v>0.1</v>
      </c>
      <c r="L10" s="4">
        <v>34.200000000000003</v>
      </c>
      <c r="M10" s="4">
        <v>7.9829999999999997</v>
      </c>
      <c r="N10" s="4"/>
      <c r="O10" s="4"/>
      <c r="P10" s="4"/>
      <c r="Q10" s="4"/>
      <c r="R10" s="4"/>
      <c r="S10" s="4"/>
      <c r="T10" s="4"/>
      <c r="U10" s="4"/>
    </row>
    <row r="11" spans="1:28">
      <c r="A11" s="4">
        <v>2008</v>
      </c>
      <c r="B11" s="4" t="s">
        <v>4</v>
      </c>
      <c r="C11" s="4">
        <v>0.126</v>
      </c>
      <c r="D11" s="4" t="s">
        <v>61</v>
      </c>
      <c r="E11" s="4" t="s">
        <v>73</v>
      </c>
      <c r="G11" s="4">
        <v>2012</v>
      </c>
      <c r="H11" s="4">
        <v>30.5</v>
      </c>
      <c r="I11" s="4">
        <v>5</v>
      </c>
      <c r="J11" s="4">
        <v>0</v>
      </c>
      <c r="K11" s="4">
        <v>15.1</v>
      </c>
      <c r="L11" s="4"/>
      <c r="M11" s="4"/>
      <c r="N11" s="4"/>
      <c r="O11" s="4"/>
      <c r="P11" s="4"/>
      <c r="Q11" s="4"/>
      <c r="R11" s="4"/>
      <c r="S11" s="4"/>
      <c r="T11" s="4"/>
      <c r="U11" s="4"/>
    </row>
    <row r="12" spans="1:28">
      <c r="A12" s="4">
        <v>2010</v>
      </c>
      <c r="B12" s="4" t="s">
        <v>4</v>
      </c>
      <c r="C12" s="4">
        <v>2.78</v>
      </c>
      <c r="D12" s="4" t="s">
        <v>62</v>
      </c>
      <c r="E12" s="4" t="s">
        <v>74</v>
      </c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</row>
    <row r="13" spans="1:28">
      <c r="A13" s="4">
        <v>2011</v>
      </c>
      <c r="B13" s="4" t="s">
        <v>4</v>
      </c>
      <c r="C13" s="4">
        <v>3.077</v>
      </c>
      <c r="D13" s="4" t="s">
        <v>63</v>
      </c>
      <c r="E13" s="4" t="s">
        <v>75</v>
      </c>
    </row>
    <row r="14" spans="1:28">
      <c r="A14" s="4">
        <v>1993</v>
      </c>
      <c r="B14" s="4" t="s">
        <v>5</v>
      </c>
      <c r="C14" s="4">
        <v>5.77</v>
      </c>
      <c r="D14" s="4" t="s">
        <v>60</v>
      </c>
      <c r="E14" s="4" t="s">
        <v>76</v>
      </c>
    </row>
    <row r="15" spans="1:28">
      <c r="A15" s="4">
        <v>2001</v>
      </c>
      <c r="B15" s="4" t="s">
        <v>5</v>
      </c>
      <c r="C15" s="4">
        <v>2.61</v>
      </c>
      <c r="D15" s="4" t="s">
        <v>61</v>
      </c>
      <c r="E15" s="4" t="s">
        <v>77</v>
      </c>
    </row>
    <row r="16" spans="1:28">
      <c r="A16" s="4">
        <v>2005</v>
      </c>
      <c r="B16" s="4" t="s">
        <v>5</v>
      </c>
      <c r="C16" s="4"/>
      <c r="D16" s="4" t="s">
        <v>62</v>
      </c>
      <c r="E16" s="4" t="s">
        <v>78</v>
      </c>
    </row>
    <row r="17" spans="1:14">
      <c r="A17" s="4">
        <v>2008</v>
      </c>
      <c r="B17" s="4" t="s">
        <v>5</v>
      </c>
      <c r="C17" s="4">
        <v>11.807</v>
      </c>
      <c r="D17" s="4" t="s">
        <v>63</v>
      </c>
      <c r="E17" s="4" t="s">
        <v>79</v>
      </c>
    </row>
    <row r="18" spans="1:14">
      <c r="A18" s="4">
        <v>2010</v>
      </c>
      <c r="B18" s="4" t="s">
        <v>5</v>
      </c>
      <c r="C18" s="4"/>
      <c r="D18" s="4" t="s">
        <v>60</v>
      </c>
      <c r="E18" s="4" t="s">
        <v>80</v>
      </c>
    </row>
    <row r="19" spans="1:14">
      <c r="A19" s="4">
        <v>2011</v>
      </c>
      <c r="B19" s="4" t="s">
        <v>5</v>
      </c>
      <c r="C19" s="4">
        <v>0.02</v>
      </c>
      <c r="D19" s="4" t="s">
        <v>61</v>
      </c>
      <c r="E19" s="4" t="s">
        <v>81</v>
      </c>
    </row>
    <row r="20" spans="1:14">
      <c r="A20" s="4">
        <v>1993</v>
      </c>
      <c r="B20" s="4" t="s">
        <v>6</v>
      </c>
      <c r="C20" s="4">
        <v>4.3</v>
      </c>
      <c r="D20" s="4" t="s">
        <v>62</v>
      </c>
      <c r="E20" s="4" t="s">
        <v>82</v>
      </c>
    </row>
    <row r="21" spans="1:14">
      <c r="A21" s="4">
        <v>2001</v>
      </c>
      <c r="B21" s="4" t="s">
        <v>6</v>
      </c>
      <c r="C21" s="4">
        <v>14.611000000000001</v>
      </c>
      <c r="D21" s="4" t="s">
        <v>63</v>
      </c>
      <c r="E21" s="4" t="s">
        <v>83</v>
      </c>
    </row>
    <row r="22" spans="1:14">
      <c r="A22" s="4">
        <v>2005</v>
      </c>
      <c r="B22" s="4" t="s">
        <v>6</v>
      </c>
      <c r="C22" s="4"/>
      <c r="D22" s="4" t="s">
        <v>60</v>
      </c>
      <c r="E22" s="4" t="s">
        <v>84</v>
      </c>
      <c r="J22">
        <v>123</v>
      </c>
    </row>
    <row r="23" spans="1:14">
      <c r="A23" s="4">
        <v>2008</v>
      </c>
      <c r="B23" s="4" t="s">
        <v>6</v>
      </c>
      <c r="C23" s="4">
        <v>3.69</v>
      </c>
      <c r="D23" s="4" t="s">
        <v>61</v>
      </c>
      <c r="E23" s="4" t="s">
        <v>85</v>
      </c>
    </row>
    <row r="24" spans="1:14">
      <c r="A24" s="4">
        <v>2010</v>
      </c>
      <c r="B24" s="4" t="s">
        <v>6</v>
      </c>
      <c r="C24" s="4"/>
      <c r="D24" s="4" t="s">
        <v>62</v>
      </c>
      <c r="E24" s="4" t="s">
        <v>86</v>
      </c>
    </row>
    <row r="25" spans="1:14">
      <c r="A25" s="4">
        <v>2011</v>
      </c>
      <c r="B25" s="4" t="s">
        <v>6</v>
      </c>
      <c r="C25" s="4">
        <v>8.5999999999999993E-2</v>
      </c>
      <c r="D25" s="4" t="s">
        <v>63</v>
      </c>
      <c r="E25" s="4" t="s">
        <v>87</v>
      </c>
    </row>
    <row r="29" spans="1:14">
      <c r="A29" t="s">
        <v>18</v>
      </c>
      <c r="B29" t="s">
        <v>19</v>
      </c>
      <c r="C29" t="s">
        <v>20</v>
      </c>
      <c r="D29" t="s">
        <v>21</v>
      </c>
      <c r="E29" t="s">
        <v>22</v>
      </c>
      <c r="F29" t="s">
        <v>23</v>
      </c>
      <c r="G29" t="s">
        <v>24</v>
      </c>
      <c r="H29" t="s">
        <v>25</v>
      </c>
    </row>
    <row r="30" spans="1:14">
      <c r="A30" t="s">
        <v>43</v>
      </c>
      <c r="B30" t="s">
        <v>27</v>
      </c>
      <c r="C30" t="s">
        <v>28</v>
      </c>
      <c r="D30" t="s">
        <v>29</v>
      </c>
      <c r="E30" s="2">
        <v>1992</v>
      </c>
      <c r="F30" s="2">
        <v>10</v>
      </c>
      <c r="G30" s="2">
        <v>11.07</v>
      </c>
      <c r="H30" s="2">
        <v>1.07</v>
      </c>
      <c r="L30">
        <v>1992</v>
      </c>
      <c r="M30">
        <v>10</v>
      </c>
      <c r="N30" t="e">
        <f>VLOOKUP(M30, A29:H50, 2)</f>
        <v>#N/A</v>
      </c>
    </row>
    <row r="31" spans="1:14">
      <c r="A31" t="s">
        <v>26</v>
      </c>
      <c r="B31" t="s">
        <v>27</v>
      </c>
      <c r="C31" t="s">
        <v>28</v>
      </c>
      <c r="D31" t="s">
        <v>29</v>
      </c>
      <c r="E31" s="2">
        <v>1992</v>
      </c>
      <c r="F31" s="2">
        <v>50.6</v>
      </c>
      <c r="G31" s="2">
        <v>58.582999999999998</v>
      </c>
      <c r="H31" s="2">
        <v>7.9829999999999997</v>
      </c>
      <c r="L31">
        <v>1992</v>
      </c>
      <c r="M31">
        <v>1.07</v>
      </c>
      <c r="N31" t="e">
        <f>VLOOKUP(M31,B30:H50, 7)</f>
        <v>#N/A</v>
      </c>
    </row>
    <row r="32" spans="1:14">
      <c r="A32" t="s">
        <v>30</v>
      </c>
      <c r="B32" t="s">
        <v>27</v>
      </c>
      <c r="C32" t="s">
        <v>28</v>
      </c>
      <c r="D32" t="s">
        <v>29</v>
      </c>
      <c r="E32" s="2">
        <v>1993</v>
      </c>
      <c r="F32" s="2">
        <v>24.524000000000001</v>
      </c>
      <c r="G32" s="2">
        <v>26.3</v>
      </c>
      <c r="H32" s="2">
        <v>1.776</v>
      </c>
      <c r="L32">
        <v>1992</v>
      </c>
      <c r="M32">
        <f>F31-G30</f>
        <v>39.53</v>
      </c>
      <c r="N32" t="e">
        <f t="shared" ref="N32:N37" si="0">VLOOKUP(M32,$B$30:$H$50, 7)</f>
        <v>#N/A</v>
      </c>
    </row>
    <row r="33" spans="1:14">
      <c r="A33" t="s">
        <v>31</v>
      </c>
      <c r="B33" t="s">
        <v>32</v>
      </c>
      <c r="C33" t="s">
        <v>28</v>
      </c>
      <c r="D33" t="s">
        <v>29</v>
      </c>
      <c r="E33" s="2">
        <v>2000</v>
      </c>
      <c r="F33" s="2">
        <v>50.6</v>
      </c>
      <c r="G33" s="2">
        <v>58.582999999999998</v>
      </c>
      <c r="H33" s="2">
        <v>7.9829999999999997</v>
      </c>
      <c r="L33">
        <v>1992</v>
      </c>
      <c r="M33">
        <f>H31</f>
        <v>7.9829999999999997</v>
      </c>
      <c r="N33" t="e">
        <f t="shared" si="0"/>
        <v>#N/A</v>
      </c>
    </row>
    <row r="34" spans="1:14">
      <c r="A34" t="s">
        <v>44</v>
      </c>
      <c r="B34" t="s">
        <v>36</v>
      </c>
      <c r="C34" t="s">
        <v>28</v>
      </c>
      <c r="D34" t="s">
        <v>29</v>
      </c>
      <c r="E34" s="2">
        <v>2001</v>
      </c>
      <c r="F34" s="2">
        <v>0</v>
      </c>
      <c r="G34" s="2">
        <v>8.1999999999999993</v>
      </c>
      <c r="H34" s="2">
        <v>8.1999999999999993</v>
      </c>
      <c r="L34">
        <v>1993</v>
      </c>
      <c r="M34">
        <v>24.524000000000001</v>
      </c>
      <c r="N34" t="e">
        <f t="shared" si="0"/>
        <v>#N/A</v>
      </c>
    </row>
    <row r="35" spans="1:14">
      <c r="A35" t="s">
        <v>45</v>
      </c>
      <c r="B35" t="s">
        <v>27</v>
      </c>
      <c r="C35" t="s">
        <v>28</v>
      </c>
      <c r="D35" t="s">
        <v>29</v>
      </c>
      <c r="E35" s="2">
        <v>2001</v>
      </c>
      <c r="F35" s="2">
        <v>8.1999999999999993</v>
      </c>
      <c r="G35" s="2">
        <v>12.486000000000001</v>
      </c>
      <c r="H35" s="2">
        <v>4.2859999999999996</v>
      </c>
      <c r="L35">
        <v>1993</v>
      </c>
      <c r="M35">
        <v>1.776</v>
      </c>
      <c r="N35" t="e">
        <f t="shared" si="0"/>
        <v>#N/A</v>
      </c>
    </row>
    <row r="36" spans="1:14">
      <c r="A36" t="s">
        <v>33</v>
      </c>
      <c r="B36" t="s">
        <v>34</v>
      </c>
      <c r="C36" t="s">
        <v>28</v>
      </c>
      <c r="D36" t="s">
        <v>29</v>
      </c>
      <c r="E36" s="2">
        <v>2001</v>
      </c>
      <c r="F36" s="2">
        <v>35.5</v>
      </c>
      <c r="G36" s="2">
        <v>39.5</v>
      </c>
      <c r="H36" s="2">
        <v>4</v>
      </c>
      <c r="L36">
        <v>2000</v>
      </c>
      <c r="M36">
        <v>50.6</v>
      </c>
      <c r="N36" t="e">
        <f t="shared" si="0"/>
        <v>#N/A</v>
      </c>
    </row>
    <row r="37" spans="1:14">
      <c r="A37" t="s">
        <v>33</v>
      </c>
      <c r="B37" t="s">
        <v>34</v>
      </c>
      <c r="C37" t="s">
        <v>28</v>
      </c>
      <c r="D37" t="s">
        <v>29</v>
      </c>
      <c r="E37" s="2">
        <v>2001</v>
      </c>
      <c r="F37" s="2">
        <v>39.5</v>
      </c>
      <c r="G37" s="2">
        <v>42</v>
      </c>
      <c r="H37" s="2">
        <v>2.5</v>
      </c>
      <c r="L37">
        <v>2000</v>
      </c>
      <c r="M37">
        <v>7.9829999999999997</v>
      </c>
      <c r="N37" t="e">
        <f t="shared" si="0"/>
        <v>#N/A</v>
      </c>
    </row>
    <row r="38" spans="1:14">
      <c r="A38" t="s">
        <v>33</v>
      </c>
      <c r="B38" t="s">
        <v>34</v>
      </c>
      <c r="C38" t="s">
        <v>28</v>
      </c>
      <c r="D38" t="s">
        <v>29</v>
      </c>
      <c r="E38" s="2">
        <v>2001</v>
      </c>
      <c r="F38" s="2">
        <v>42</v>
      </c>
      <c r="G38" s="2">
        <v>43</v>
      </c>
      <c r="H38" s="2">
        <v>1</v>
      </c>
    </row>
    <row r="39" spans="1:14">
      <c r="A39" t="s">
        <v>33</v>
      </c>
      <c r="B39" t="s">
        <v>36</v>
      </c>
      <c r="C39" t="s">
        <v>28</v>
      </c>
      <c r="D39" t="s">
        <v>29</v>
      </c>
      <c r="E39" s="2">
        <v>2001</v>
      </c>
      <c r="F39" s="2">
        <v>43</v>
      </c>
      <c r="G39" s="2">
        <v>48</v>
      </c>
      <c r="H39" s="2">
        <v>5</v>
      </c>
    </row>
    <row r="40" spans="1:14">
      <c r="A40" t="s">
        <v>33</v>
      </c>
      <c r="B40" t="s">
        <v>34</v>
      </c>
      <c r="C40" t="s">
        <v>28</v>
      </c>
      <c r="D40" t="s">
        <v>29</v>
      </c>
      <c r="E40" s="2">
        <v>2001</v>
      </c>
      <c r="F40" s="2">
        <v>48</v>
      </c>
      <c r="G40" s="2">
        <v>50.6</v>
      </c>
      <c r="H40" s="2">
        <v>2.6</v>
      </c>
    </row>
    <row r="41" spans="1:14">
      <c r="A41" t="s">
        <v>35</v>
      </c>
      <c r="B41" t="s">
        <v>36</v>
      </c>
      <c r="C41" t="s">
        <v>28</v>
      </c>
      <c r="D41" t="s">
        <v>29</v>
      </c>
      <c r="E41" s="2">
        <v>2004</v>
      </c>
      <c r="F41" s="2">
        <v>16.100000000000001</v>
      </c>
      <c r="G41" s="2">
        <v>19.715</v>
      </c>
      <c r="H41" s="2">
        <v>3.6150000000000002</v>
      </c>
    </row>
    <row r="42" spans="1:14">
      <c r="A42" t="s">
        <v>37</v>
      </c>
      <c r="B42" t="s">
        <v>38</v>
      </c>
      <c r="C42" t="s">
        <v>28</v>
      </c>
      <c r="D42" t="s">
        <v>29</v>
      </c>
      <c r="E42" s="2">
        <v>2005</v>
      </c>
      <c r="F42" s="2">
        <v>19.885000000000002</v>
      </c>
      <c r="G42" s="2">
        <v>25</v>
      </c>
      <c r="H42" s="2">
        <v>5.1150000000000002</v>
      </c>
    </row>
    <row r="43" spans="1:14">
      <c r="A43" t="s">
        <v>39</v>
      </c>
      <c r="B43" t="s">
        <v>38</v>
      </c>
      <c r="C43" t="s">
        <v>28</v>
      </c>
      <c r="D43" t="s">
        <v>29</v>
      </c>
      <c r="E43" s="2">
        <v>2006</v>
      </c>
      <c r="F43" s="2">
        <v>50.6</v>
      </c>
      <c r="G43" s="2">
        <v>58.582999999999998</v>
      </c>
      <c r="H43" s="2">
        <v>7.9829999999999997</v>
      </c>
    </row>
    <row r="44" spans="1:14">
      <c r="A44" t="s">
        <v>46</v>
      </c>
      <c r="B44" t="s">
        <v>27</v>
      </c>
      <c r="C44" t="s">
        <v>28</v>
      </c>
      <c r="D44" t="s">
        <v>29</v>
      </c>
      <c r="E44" s="2">
        <v>2009</v>
      </c>
      <c r="F44" s="2">
        <v>19.885000000000002</v>
      </c>
      <c r="G44" s="2">
        <v>24.504000000000001</v>
      </c>
      <c r="H44" s="2">
        <v>4.6189999999999998</v>
      </c>
    </row>
    <row r="45" spans="1:14">
      <c r="A45" t="s">
        <v>40</v>
      </c>
      <c r="B45" t="s">
        <v>38</v>
      </c>
      <c r="C45" t="s">
        <v>28</v>
      </c>
      <c r="D45" t="s">
        <v>29</v>
      </c>
      <c r="E45" s="2">
        <v>2009</v>
      </c>
      <c r="F45" s="2">
        <v>50.6</v>
      </c>
      <c r="G45" s="2">
        <v>58.582999999999998</v>
      </c>
      <c r="H45" s="2">
        <v>7.9829999999999997</v>
      </c>
    </row>
    <row r="46" spans="1:14">
      <c r="A46" t="s">
        <v>47</v>
      </c>
      <c r="B46" t="s">
        <v>36</v>
      </c>
      <c r="C46" t="s">
        <v>28</v>
      </c>
      <c r="D46" t="s">
        <v>29</v>
      </c>
      <c r="E46" s="2">
        <v>2010</v>
      </c>
      <c r="F46" s="2">
        <v>16.2</v>
      </c>
      <c r="G46" s="2">
        <v>16.3</v>
      </c>
      <c r="H46" s="2">
        <v>0.1</v>
      </c>
    </row>
    <row r="47" spans="1:14">
      <c r="A47" t="s">
        <v>47</v>
      </c>
      <c r="B47" t="s">
        <v>36</v>
      </c>
      <c r="C47" t="s">
        <v>28</v>
      </c>
      <c r="D47" t="s">
        <v>29</v>
      </c>
      <c r="E47" s="2">
        <v>2010</v>
      </c>
      <c r="F47" s="2">
        <v>16.3</v>
      </c>
      <c r="G47" s="2">
        <v>16.399999999999999</v>
      </c>
      <c r="H47" s="2">
        <v>0.1</v>
      </c>
    </row>
    <row r="48" spans="1:14">
      <c r="A48" t="s">
        <v>41</v>
      </c>
      <c r="B48" t="s">
        <v>27</v>
      </c>
      <c r="C48" t="s">
        <v>28</v>
      </c>
      <c r="D48" t="s">
        <v>29</v>
      </c>
      <c r="E48" s="2">
        <v>2010</v>
      </c>
      <c r="F48" s="2">
        <v>50.6</v>
      </c>
      <c r="G48" s="2">
        <v>58.582999999999998</v>
      </c>
      <c r="H48" s="2">
        <v>7.9829999999999997</v>
      </c>
    </row>
    <row r="49" spans="1:11">
      <c r="A49" t="s">
        <v>42</v>
      </c>
      <c r="B49" t="s">
        <v>38</v>
      </c>
      <c r="C49" t="s">
        <v>28</v>
      </c>
      <c r="D49" t="s">
        <v>29</v>
      </c>
      <c r="E49" s="2">
        <v>2012</v>
      </c>
      <c r="F49" s="2">
        <v>30.5</v>
      </c>
      <c r="G49" s="2">
        <v>35.5</v>
      </c>
      <c r="H49" s="2">
        <v>5</v>
      </c>
    </row>
    <row r="50" spans="1:11">
      <c r="A50" t="s">
        <v>42</v>
      </c>
      <c r="B50" t="s">
        <v>27</v>
      </c>
      <c r="C50" t="s">
        <v>28</v>
      </c>
      <c r="D50" t="s">
        <v>29</v>
      </c>
      <c r="E50" s="2">
        <v>2012</v>
      </c>
      <c r="F50" s="2">
        <v>30.5</v>
      </c>
      <c r="G50" s="2">
        <v>50.6</v>
      </c>
      <c r="H50" s="2">
        <v>20.100000000000001</v>
      </c>
    </row>
    <row r="57" spans="1:11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</row>
    <row r="58" spans="1:11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</row>
    <row r="59" spans="1:11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</row>
    <row r="60" spans="1:11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</row>
    <row r="61" spans="1:11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</row>
    <row r="62" spans="1:11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</row>
    <row r="63" spans="1:11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</row>
    <row r="64" spans="1:11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</row>
    <row r="65" spans="1:11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</row>
    <row r="66" spans="1:11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</row>
    <row r="67" spans="1:11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</row>
    <row r="68" spans="1:11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</row>
    <row r="69" spans="1:11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</row>
    <row r="70" spans="1:11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</row>
    <row r="71" spans="1:11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5"/>
  <sheetViews>
    <sheetView workbookViewId="0">
      <selection activeCell="B11" sqref="B11"/>
    </sheetView>
  </sheetViews>
  <sheetFormatPr defaultRowHeight="15"/>
  <sheetData>
    <row r="1" spans="1:2">
      <c r="A1" t="s">
        <v>115</v>
      </c>
      <c r="B1" t="s">
        <v>116</v>
      </c>
    </row>
    <row r="2" spans="1:2">
      <c r="A2" t="s">
        <v>117</v>
      </c>
      <c r="B2">
        <v>25</v>
      </c>
    </row>
    <row r="3" spans="1:2">
      <c r="A3" t="s">
        <v>118</v>
      </c>
      <c r="B3">
        <v>26</v>
      </c>
    </row>
    <row r="4" spans="1:2">
      <c r="A4" t="s">
        <v>119</v>
      </c>
      <c r="B4">
        <v>27</v>
      </c>
    </row>
    <row r="5" spans="1:2">
      <c r="A5" t="s">
        <v>120</v>
      </c>
      <c r="B5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20"/>
  <sheetViews>
    <sheetView workbookViewId="0">
      <selection activeCell="G22" sqref="G22"/>
    </sheetView>
  </sheetViews>
  <sheetFormatPr defaultRowHeight="15"/>
  <cols>
    <col min="1" max="1" width="3" customWidth="1"/>
    <col min="2" max="2" width="12.7109375" style="1" customWidth="1"/>
    <col min="3" max="3" width="9.28515625" bestFit="1" customWidth="1"/>
    <col min="4" max="9" width="24" bestFit="1" customWidth="1"/>
    <col min="10" max="10" width="16.7109375" customWidth="1"/>
    <col min="11" max="11" width="5" customWidth="1"/>
    <col min="12" max="12" width="11.42578125" bestFit="1" customWidth="1"/>
    <col min="13" max="13" width="7" customWidth="1"/>
    <col min="14" max="14" width="11.42578125" bestFit="1" customWidth="1"/>
  </cols>
  <sheetData>
    <row r="1" spans="1:10">
      <c r="C1" t="s">
        <v>48</v>
      </c>
      <c r="D1" t="s">
        <v>49</v>
      </c>
      <c r="E1" t="s">
        <v>50</v>
      </c>
      <c r="F1" t="s">
        <v>51</v>
      </c>
      <c r="G1" t="s">
        <v>52</v>
      </c>
      <c r="H1" t="s">
        <v>53</v>
      </c>
      <c r="I1" t="s">
        <v>54</v>
      </c>
      <c r="J1" t="s">
        <v>98</v>
      </c>
    </row>
    <row r="2" spans="1:10">
      <c r="B2" s="1">
        <v>1993</v>
      </c>
      <c r="C2" s="1">
        <v>7</v>
      </c>
      <c r="D2" s="1">
        <v>2</v>
      </c>
      <c r="E2" s="1">
        <f t="shared" ref="C2:H9" ca="1" si="0">RANDBETWEEN(1, 10)</f>
        <v>3</v>
      </c>
      <c r="F2" s="1">
        <f t="shared" ca="1" si="0"/>
        <v>1</v>
      </c>
      <c r="G2" s="1">
        <f t="shared" ca="1" si="0"/>
        <v>3</v>
      </c>
      <c r="H2" s="1">
        <f t="shared" ca="1" si="0"/>
        <v>4</v>
      </c>
      <c r="I2" t="str">
        <f t="shared" ref="I2:I9" ca="1" si="1">INDEX($C$1:$H$1, MATCH(MAX(C2:H2),C2:H2, 0))</f>
        <v>Product 1</v>
      </c>
      <c r="J2" s="1">
        <f ca="1">MATCH(MAX(C2:H2), C2:H2, 0)</f>
        <v>1</v>
      </c>
    </row>
    <row r="3" spans="1:10">
      <c r="B3" s="1">
        <v>1994</v>
      </c>
      <c r="C3" s="1">
        <v>1</v>
      </c>
      <c r="D3" s="1">
        <v>1</v>
      </c>
      <c r="E3" s="1">
        <f t="shared" ca="1" si="0"/>
        <v>6</v>
      </c>
      <c r="F3" s="1">
        <f t="shared" ca="1" si="0"/>
        <v>7</v>
      </c>
      <c r="G3" s="1">
        <f t="shared" ca="1" si="0"/>
        <v>8</v>
      </c>
      <c r="H3" s="1">
        <f t="shared" ca="1" si="0"/>
        <v>10</v>
      </c>
      <c r="I3" t="str">
        <f t="shared" ca="1" si="1"/>
        <v>Product 6</v>
      </c>
      <c r="J3" s="1"/>
    </row>
    <row r="4" spans="1:10">
      <c r="B4" s="1">
        <v>1995</v>
      </c>
      <c r="C4" s="1">
        <v>7</v>
      </c>
      <c r="D4" s="1"/>
      <c r="E4" s="1">
        <f t="shared" ca="1" si="0"/>
        <v>5</v>
      </c>
      <c r="F4" s="1">
        <f t="shared" ca="1" si="0"/>
        <v>8</v>
      </c>
      <c r="G4" s="1">
        <f t="shared" ca="1" si="0"/>
        <v>5</v>
      </c>
      <c r="H4" s="1">
        <f t="shared" ca="1" si="0"/>
        <v>7</v>
      </c>
      <c r="I4" t="str">
        <f t="shared" ca="1" si="1"/>
        <v>Product 4</v>
      </c>
      <c r="J4" s="1"/>
    </row>
    <row r="5" spans="1:10">
      <c r="B5" s="1">
        <v>1996</v>
      </c>
      <c r="C5" s="1">
        <v>1</v>
      </c>
      <c r="D5" s="1">
        <v>1</v>
      </c>
      <c r="E5" s="1">
        <f t="shared" ca="1" si="0"/>
        <v>4</v>
      </c>
      <c r="F5" s="1">
        <f t="shared" ca="1" si="0"/>
        <v>4</v>
      </c>
      <c r="G5" s="1">
        <f t="shared" ca="1" si="0"/>
        <v>3</v>
      </c>
      <c r="H5" s="1">
        <f t="shared" ca="1" si="0"/>
        <v>5</v>
      </c>
      <c r="I5" t="str">
        <f t="shared" ca="1" si="1"/>
        <v>Product 6</v>
      </c>
      <c r="J5" s="1"/>
    </row>
    <row r="6" spans="1:10">
      <c r="B6" s="1">
        <v>1997</v>
      </c>
      <c r="C6" s="1">
        <v>6</v>
      </c>
      <c r="D6" s="1">
        <v>1</v>
      </c>
      <c r="E6" s="1">
        <f t="shared" ca="1" si="0"/>
        <v>10</v>
      </c>
      <c r="F6" s="1">
        <f t="shared" ca="1" si="0"/>
        <v>5</v>
      </c>
      <c r="G6" s="1">
        <f t="shared" ca="1" si="0"/>
        <v>4</v>
      </c>
      <c r="H6" s="1">
        <f t="shared" ca="1" si="0"/>
        <v>1</v>
      </c>
      <c r="I6" t="str">
        <f t="shared" ca="1" si="1"/>
        <v>Product 3</v>
      </c>
      <c r="J6" s="1"/>
    </row>
    <row r="7" spans="1:10">
      <c r="B7" s="1">
        <v>1998</v>
      </c>
      <c r="C7" s="1">
        <v>1</v>
      </c>
      <c r="D7" s="1">
        <v>1</v>
      </c>
      <c r="E7" s="1">
        <f t="shared" ca="1" si="0"/>
        <v>1</v>
      </c>
      <c r="F7" s="1">
        <f t="shared" ca="1" si="0"/>
        <v>9</v>
      </c>
      <c r="G7" s="1">
        <f t="shared" ca="1" si="0"/>
        <v>10</v>
      </c>
      <c r="H7" s="1">
        <f t="shared" ca="1" si="0"/>
        <v>5</v>
      </c>
      <c r="I7" t="str">
        <f t="shared" ca="1" si="1"/>
        <v>Product 5</v>
      </c>
      <c r="J7" s="1"/>
    </row>
    <row r="8" spans="1:10">
      <c r="B8" s="1">
        <v>1999</v>
      </c>
      <c r="C8" s="1">
        <v>9</v>
      </c>
      <c r="D8" s="1">
        <v>1</v>
      </c>
      <c r="E8" s="1">
        <f t="shared" ca="1" si="0"/>
        <v>3</v>
      </c>
      <c r="F8" s="1">
        <f t="shared" ca="1" si="0"/>
        <v>4</v>
      </c>
      <c r="G8" s="1">
        <f t="shared" ca="1" si="0"/>
        <v>10</v>
      </c>
      <c r="H8" s="1">
        <f t="shared" ca="1" si="0"/>
        <v>8</v>
      </c>
      <c r="I8" t="str">
        <f t="shared" ca="1" si="1"/>
        <v>Product 5</v>
      </c>
      <c r="J8" s="1"/>
    </row>
    <row r="9" spans="1:10">
      <c r="B9" s="1">
        <v>2000</v>
      </c>
      <c r="C9" s="1">
        <v>1</v>
      </c>
      <c r="D9" s="1">
        <v>1</v>
      </c>
      <c r="E9" s="1">
        <f t="shared" ca="1" si="0"/>
        <v>4</v>
      </c>
      <c r="F9" s="1">
        <f t="shared" ca="1" si="0"/>
        <v>9</v>
      </c>
      <c r="G9" s="1">
        <f t="shared" ca="1" si="0"/>
        <v>5</v>
      </c>
      <c r="H9" s="1">
        <f t="shared" ca="1" si="0"/>
        <v>6</v>
      </c>
      <c r="I9" t="str">
        <f t="shared" ca="1" si="1"/>
        <v>Product 4</v>
      </c>
      <c r="J9" s="1"/>
    </row>
    <row r="12" spans="1:10">
      <c r="A12" s="1"/>
      <c r="B12"/>
    </row>
    <row r="13" spans="1:10">
      <c r="A13" s="1"/>
      <c r="C13" s="3"/>
      <c r="D13" s="3"/>
      <c r="E13" s="3"/>
      <c r="F13" s="3"/>
      <c r="G13" s="3"/>
      <c r="H13" s="3"/>
    </row>
    <row r="14" spans="1:10">
      <c r="A14" s="1"/>
      <c r="C14" s="3"/>
      <c r="D14" s="3"/>
      <c r="E14" s="3"/>
      <c r="F14" s="3" t="s">
        <v>99</v>
      </c>
      <c r="G14" s="3"/>
      <c r="H14" s="3"/>
    </row>
    <row r="15" spans="1:10">
      <c r="A15" s="1"/>
      <c r="C15" s="3"/>
      <c r="D15" s="1">
        <v>7</v>
      </c>
      <c r="E15" s="1">
        <v>2</v>
      </c>
      <c r="F15" s="3" t="e">
        <f>MATCH(1, (C2:C9=D15)*(D2:D9=E15), 0)</f>
        <v>#VALUE!</v>
      </c>
      <c r="G15" s="3"/>
      <c r="H15" s="3"/>
    </row>
    <row r="16" spans="1:10">
      <c r="A16" s="1"/>
      <c r="C16" s="3"/>
      <c r="D16" s="3"/>
      <c r="E16" s="3"/>
      <c r="F16" s="3"/>
      <c r="G16" s="3"/>
      <c r="H16" s="3"/>
    </row>
    <row r="17" spans="1:8">
      <c r="A17" s="1"/>
      <c r="C17" s="3"/>
      <c r="D17" s="3"/>
      <c r="E17" s="3"/>
      <c r="F17" s="3"/>
      <c r="G17" s="3"/>
      <c r="H17" s="3"/>
    </row>
    <row r="18" spans="1:8">
      <c r="A18" s="1"/>
      <c r="C18" s="3"/>
      <c r="D18" s="3"/>
      <c r="E18" s="3"/>
      <c r="F18" s="3"/>
      <c r="G18" s="3"/>
      <c r="H18" s="3"/>
    </row>
    <row r="19" spans="1:8">
      <c r="A19" s="1"/>
      <c r="C19" s="3"/>
      <c r="D19" s="3"/>
      <c r="E19" s="3"/>
      <c r="F19" s="3"/>
      <c r="G19" s="3"/>
      <c r="H19" s="3"/>
    </row>
    <row r="20" spans="1:8">
      <c r="A20" s="1"/>
      <c r="C20" s="3"/>
      <c r="D20" s="3"/>
      <c r="E20" s="3"/>
      <c r="F20" s="3"/>
      <c r="G20" s="3"/>
      <c r="H20" s="3"/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3"/>
  <sheetViews>
    <sheetView workbookViewId="0">
      <selection activeCell="C13" sqref="C13"/>
    </sheetView>
  </sheetViews>
  <sheetFormatPr defaultRowHeight="15"/>
  <sheetData>
    <row r="1" spans="1:8">
      <c r="A1" t="s">
        <v>104</v>
      </c>
      <c r="B1" t="s">
        <v>106</v>
      </c>
    </row>
    <row r="2" spans="1:8">
      <c r="A2" t="s">
        <v>105</v>
      </c>
      <c r="B2">
        <f>INDEX(C4:H9,MATCH(A2,C4:C9,0),6)</f>
        <v>38</v>
      </c>
    </row>
    <row r="4" spans="1:8">
      <c r="A4" t="s">
        <v>0</v>
      </c>
      <c r="B4" t="s">
        <v>107</v>
      </c>
      <c r="C4" t="s">
        <v>104</v>
      </c>
      <c r="D4" t="s">
        <v>110</v>
      </c>
      <c r="E4" t="s">
        <v>111</v>
      </c>
      <c r="F4" t="s">
        <v>112</v>
      </c>
      <c r="G4" t="s">
        <v>113</v>
      </c>
      <c r="H4" t="s">
        <v>114</v>
      </c>
    </row>
    <row r="5" spans="1:8">
      <c r="A5">
        <v>2014</v>
      </c>
      <c r="B5" t="s">
        <v>108</v>
      </c>
      <c r="C5" t="s">
        <v>105</v>
      </c>
      <c r="D5">
        <v>1.5</v>
      </c>
      <c r="E5">
        <v>4</v>
      </c>
      <c r="F5">
        <v>39</v>
      </c>
      <c r="G5">
        <v>38</v>
      </c>
      <c r="H5">
        <v>38</v>
      </c>
    </row>
    <row r="6" spans="1:8">
      <c r="A6">
        <v>2014</v>
      </c>
      <c r="B6" t="s">
        <v>108</v>
      </c>
      <c r="C6" t="s">
        <v>105</v>
      </c>
      <c r="D6">
        <v>2</v>
      </c>
      <c r="E6">
        <v>4</v>
      </c>
      <c r="F6">
        <v>24</v>
      </c>
      <c r="G6">
        <v>35</v>
      </c>
      <c r="H6">
        <v>28</v>
      </c>
    </row>
    <row r="7" spans="1:8">
      <c r="A7">
        <v>2014</v>
      </c>
      <c r="B7" t="s">
        <v>108</v>
      </c>
      <c r="C7" t="s">
        <v>105</v>
      </c>
      <c r="D7">
        <v>2.4</v>
      </c>
      <c r="E7">
        <v>4</v>
      </c>
      <c r="F7">
        <v>22</v>
      </c>
      <c r="G7">
        <v>31</v>
      </c>
      <c r="H7">
        <v>25</v>
      </c>
    </row>
    <row r="8" spans="1:8">
      <c r="A8">
        <v>2014</v>
      </c>
      <c r="B8" t="s">
        <v>108</v>
      </c>
      <c r="C8" t="s">
        <v>109</v>
      </c>
      <c r="D8">
        <v>3.5</v>
      </c>
      <c r="E8">
        <v>6</v>
      </c>
      <c r="F8">
        <v>20</v>
      </c>
      <c r="G8">
        <v>28</v>
      </c>
      <c r="H8">
        <v>23</v>
      </c>
    </row>
    <row r="9" spans="1:8">
      <c r="A9">
        <v>2014</v>
      </c>
      <c r="B9" t="s">
        <v>108</v>
      </c>
      <c r="C9" t="s">
        <v>109</v>
      </c>
      <c r="D9">
        <v>3.5</v>
      </c>
      <c r="E9">
        <v>6</v>
      </c>
      <c r="F9">
        <v>18</v>
      </c>
      <c r="G9">
        <v>27</v>
      </c>
      <c r="H9">
        <v>21</v>
      </c>
    </row>
    <row r="12" spans="1:8">
      <c r="A12" t="s">
        <v>104</v>
      </c>
      <c r="B12" t="s">
        <v>110</v>
      </c>
      <c r="C12" t="s">
        <v>114</v>
      </c>
    </row>
    <row r="13" spans="1:8">
      <c r="A13" t="s">
        <v>105</v>
      </c>
      <c r="B13">
        <v>2.4</v>
      </c>
      <c r="C13">
        <f t="array" ref="C13">INDEX(C4:H9,MATCH(1,(C4:C9=A13)*(D4:D9=B13),0),6)</f>
        <v>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C18"/>
  <sheetViews>
    <sheetView workbookViewId="0">
      <selection activeCell="C14" sqref="C14"/>
    </sheetView>
  </sheetViews>
  <sheetFormatPr defaultRowHeight="15"/>
  <sheetData>
    <row r="2" spans="1:3">
      <c r="A2" t="s">
        <v>100</v>
      </c>
      <c r="B2">
        <v>10</v>
      </c>
      <c r="C2">
        <f>COUNTIF($A$2:$A$8, A2)</f>
        <v>2</v>
      </c>
    </row>
    <row r="3" spans="1:3">
      <c r="A3" t="s">
        <v>101</v>
      </c>
      <c r="B3">
        <v>12</v>
      </c>
      <c r="C3">
        <f t="shared" ref="C3:C8" si="0">COUNTIF($A$2:$A$8, A3)</f>
        <v>3</v>
      </c>
    </row>
    <row r="4" spans="1:3">
      <c r="A4" t="s">
        <v>102</v>
      </c>
      <c r="B4">
        <v>14</v>
      </c>
      <c r="C4">
        <f t="shared" si="0"/>
        <v>1</v>
      </c>
    </row>
    <row r="5" spans="1:3">
      <c r="A5" t="s">
        <v>103</v>
      </c>
      <c r="B5">
        <v>18</v>
      </c>
      <c r="C5">
        <f t="shared" si="0"/>
        <v>1</v>
      </c>
    </row>
    <row r="6" spans="1:3">
      <c r="A6" t="s">
        <v>101</v>
      </c>
      <c r="B6">
        <v>19</v>
      </c>
      <c r="C6">
        <f t="shared" si="0"/>
        <v>3</v>
      </c>
    </row>
    <row r="7" spans="1:3">
      <c r="A7" t="s">
        <v>100</v>
      </c>
      <c r="B7">
        <v>16</v>
      </c>
      <c r="C7">
        <f t="shared" si="0"/>
        <v>2</v>
      </c>
    </row>
    <row r="8" spans="1:3">
      <c r="A8" t="s">
        <v>101</v>
      </c>
      <c r="B8">
        <v>11</v>
      </c>
      <c r="C8">
        <f t="shared" si="0"/>
        <v>3</v>
      </c>
    </row>
    <row r="11" spans="1:3">
      <c r="A11" t="s">
        <v>101</v>
      </c>
      <c r="B11">
        <f t="array" ref="B11">INDEX($B$2:$B$8, SMALL(IF($A$11=$A$2:$A$8, ROW($A$2:$A$8)-ROW($A$2)+1), ROW(1:1)))</f>
        <v>12</v>
      </c>
    </row>
    <row r="12" spans="1:3">
      <c r="B12">
        <f t="array" ref="B12">INDEX($B$2:$B$8, SMALL(IF($A$11=$A$2:$A$8, ROW($A$2:$A$8)-ROW($A$2)+1), ROW(2:2)))</f>
        <v>19</v>
      </c>
    </row>
    <row r="13" spans="1:3">
      <c r="B13">
        <f t="array" ref="B13">INDEX($B$2:$B$8, SMALL(IF($A$11=$A$2:$A$8, ROW($A$2:$A$8)-ROW($A$2)+1), ROW(3:3)))</f>
        <v>11</v>
      </c>
    </row>
    <row r="14" spans="1:3">
      <c r="B14" t="e">
        <f t="array" ref="B14">INDEX($B$2:$B$8, SMALL(IF($A$11=$A$2:$A$8, ROW($A$2:$A$8)-ROW($A$2)+1), ROW(4:4)))</f>
        <v>#NUM!</v>
      </c>
    </row>
    <row r="15" spans="1:3">
      <c r="B15" t="e">
        <f t="array" ref="B15">INDEX($B$2:$B$8, SMALL(IF($A$11=$A$2:$A$8, ROW($A$2:$A$8)-ROW($A$2)+1), ROW(5:5)))</f>
        <v>#NUM!</v>
      </c>
    </row>
    <row r="16" spans="1:3">
      <c r="B16" t="e">
        <f t="array" ref="B16">INDEX($B$2:$B$8, SMALL(IF($A$11=$A$2:$A$8, ROW($A$2:$A$8)-ROW($A$2)+1), ROW(6:6)))</f>
        <v>#NUM!</v>
      </c>
    </row>
    <row r="17" spans="2:2">
      <c r="B17" t="e">
        <f t="array" ref="B17">INDEX($B$2:$B$8, SMALL(IF($A$11=$A$2:$A$8, ROW($A$2:$A$8)-ROW($A$2)+1), ROW(7:7)))</f>
        <v>#NUM!</v>
      </c>
    </row>
    <row r="18" spans="2:2">
      <c r="B18" t="e">
        <f t="array" ref="B18">INDEX($B$2:$B$8, SMALL(IF($A$11=$A$2:$A$8, ROW($A$2:$A$8)-ROW($A$2)+1), ROW(8:8)))</f>
        <v>#NUM!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Z9"/>
  <sheetViews>
    <sheetView workbookViewId="0">
      <selection activeCell="C2" sqref="C2:H9"/>
    </sheetView>
  </sheetViews>
  <sheetFormatPr defaultRowHeight="15"/>
  <cols>
    <col min="1" max="1" width="12.7109375" bestFit="1" customWidth="1"/>
    <col min="2" max="2" width="5" bestFit="1" customWidth="1"/>
    <col min="3" max="6" width="23" bestFit="1" customWidth="1"/>
    <col min="7" max="8" width="24" bestFit="1" customWidth="1"/>
  </cols>
  <sheetData>
    <row r="1" spans="1:26">
      <c r="A1" s="1"/>
      <c r="C1" t="s">
        <v>3</v>
      </c>
      <c r="D1" t="s">
        <v>55</v>
      </c>
      <c r="E1" t="s">
        <v>56</v>
      </c>
      <c r="F1" t="s">
        <v>57</v>
      </c>
      <c r="G1" t="s">
        <v>58</v>
      </c>
      <c r="H1" t="s">
        <v>59</v>
      </c>
      <c r="I1" t="s">
        <v>121</v>
      </c>
      <c r="J1" t="s">
        <v>122</v>
      </c>
      <c r="K1" t="s">
        <v>123</v>
      </c>
      <c r="L1" t="s">
        <v>124</v>
      </c>
      <c r="M1" t="s">
        <v>125</v>
      </c>
      <c r="N1" t="s">
        <v>126</v>
      </c>
      <c r="O1" t="s">
        <v>127</v>
      </c>
      <c r="P1" t="s">
        <v>128</v>
      </c>
      <c r="Q1" t="s">
        <v>129</v>
      </c>
      <c r="R1" t="s">
        <v>130</v>
      </c>
      <c r="S1" t="s">
        <v>131</v>
      </c>
      <c r="T1" t="s">
        <v>132</v>
      </c>
      <c r="U1" t="s">
        <v>133</v>
      </c>
      <c r="V1" t="s">
        <v>134</v>
      </c>
      <c r="W1" t="s">
        <v>135</v>
      </c>
      <c r="X1" t="s">
        <v>136</v>
      </c>
      <c r="Y1" t="s">
        <v>137</v>
      </c>
      <c r="Z1" t="s">
        <v>138</v>
      </c>
    </row>
    <row r="2" spans="1:26">
      <c r="A2" s="1"/>
      <c r="B2" s="1">
        <v>1993</v>
      </c>
      <c r="C2" s="6" t="str">
        <f>$B2&amp;", " &amp;C$1&amp;", " &amp;'index&amp;match'!C2</f>
        <v>1993, L1, 7</v>
      </c>
      <c r="D2" s="6" t="str">
        <f>$B2&amp;", " &amp;D$1&amp;", " &amp;'index&amp;match'!D2</f>
        <v>1993, L2, 2</v>
      </c>
      <c r="E2" s="6" t="str">
        <f ca="1">$B2&amp;", " &amp;E$1&amp;", " &amp;'index&amp;match'!E2</f>
        <v>1993, L3, 3</v>
      </c>
      <c r="F2" s="6" t="str">
        <f ca="1">$B2&amp;", " &amp;F$1&amp;", " &amp;'index&amp;match'!F2</f>
        <v>1993, L4, 1</v>
      </c>
      <c r="G2" s="6" t="str">
        <f ca="1">$B2&amp;", " &amp;G$1&amp;", " &amp;'index&amp;match'!G2</f>
        <v>1993, L5, 3</v>
      </c>
      <c r="H2" s="6" t="str">
        <f ca="1">$B2&amp;", " &amp;H$1&amp;", " &amp;'index&amp;match'!H2</f>
        <v>1993, L6, 4</v>
      </c>
      <c r="I2" s="6"/>
    </row>
    <row r="3" spans="1:26">
      <c r="A3" s="1"/>
      <c r="B3" s="1">
        <v>1994</v>
      </c>
      <c r="C3" s="6" t="str">
        <f>$B3&amp;", " &amp;C$1&amp;", " &amp;'index&amp;match'!C3</f>
        <v>1994, L1, 1</v>
      </c>
      <c r="D3" s="6" t="str">
        <f>$B3&amp;", " &amp;D$1&amp;", " &amp;'index&amp;match'!D3</f>
        <v>1994, L2, 1</v>
      </c>
      <c r="E3" s="6" t="str">
        <f ca="1">$B3&amp;", " &amp;E$1&amp;", " &amp;'index&amp;match'!E3</f>
        <v>1994, L3, 6</v>
      </c>
      <c r="F3" s="6" t="str">
        <f ca="1">$B3&amp;", " &amp;F$1&amp;", " &amp;'index&amp;match'!F3</f>
        <v>1994, L4, 7</v>
      </c>
      <c r="G3" s="6" t="str">
        <f ca="1">$B3&amp;", " &amp;G$1&amp;", " &amp;'index&amp;match'!G3</f>
        <v>1994, L5, 8</v>
      </c>
      <c r="H3" s="6" t="str">
        <f ca="1">$B3&amp;", " &amp;H$1&amp;", " &amp;'index&amp;match'!H3</f>
        <v>1994, L6, 10</v>
      </c>
    </row>
    <row r="4" spans="1:26">
      <c r="A4" s="1"/>
      <c r="B4" s="1">
        <v>1995</v>
      </c>
      <c r="C4" s="6" t="str">
        <f>$B4&amp;", " &amp;C$1&amp;", " &amp;'index&amp;match'!C4</f>
        <v>1995, L1, 7</v>
      </c>
      <c r="D4" s="6" t="str">
        <f>$B4&amp;", " &amp;D$1&amp;", " &amp;'index&amp;match'!D4</f>
        <v xml:space="preserve">1995, L2, </v>
      </c>
      <c r="E4" s="6" t="str">
        <f ca="1">$B4&amp;", " &amp;E$1&amp;", " &amp;'index&amp;match'!E4</f>
        <v>1995, L3, 5</v>
      </c>
      <c r="F4" s="6" t="str">
        <f ca="1">$B4&amp;", " &amp;F$1&amp;", " &amp;'index&amp;match'!F4</f>
        <v>1995, L4, 8</v>
      </c>
      <c r="G4" s="6" t="str">
        <f ca="1">$B4&amp;", " &amp;G$1&amp;", " &amp;'index&amp;match'!G4</f>
        <v>1995, L5, 5</v>
      </c>
      <c r="H4" s="6" t="str">
        <f ca="1">$B4&amp;", " &amp;H$1&amp;", " &amp;'index&amp;match'!H4</f>
        <v>1995, L6, 7</v>
      </c>
    </row>
    <row r="5" spans="1:26">
      <c r="A5" s="1"/>
      <c r="B5" s="1">
        <v>1996</v>
      </c>
      <c r="C5" s="6" t="str">
        <f>$B5&amp;", " &amp;C$1&amp;", " &amp;'index&amp;match'!C5</f>
        <v>1996, L1, 1</v>
      </c>
      <c r="D5" s="6" t="str">
        <f>$B5&amp;", " &amp;D$1&amp;", " &amp;'index&amp;match'!D5</f>
        <v>1996, L2, 1</v>
      </c>
      <c r="E5" s="6" t="str">
        <f ca="1">$B5&amp;", " &amp;E$1&amp;", " &amp;'index&amp;match'!E5</f>
        <v>1996, L3, 4</v>
      </c>
      <c r="F5" s="6" t="str">
        <f ca="1">$B5&amp;", " &amp;F$1&amp;", " &amp;'index&amp;match'!F5</f>
        <v>1996, L4, 4</v>
      </c>
      <c r="G5" s="6" t="str">
        <f ca="1">$B5&amp;", " &amp;G$1&amp;", " &amp;'index&amp;match'!G5</f>
        <v>1996, L5, 3</v>
      </c>
      <c r="H5" s="6" t="str">
        <f ca="1">$B5&amp;", " &amp;H$1&amp;", " &amp;'index&amp;match'!H5</f>
        <v>1996, L6, 5</v>
      </c>
    </row>
    <row r="6" spans="1:26">
      <c r="A6" s="1"/>
      <c r="B6" s="1">
        <v>1997</v>
      </c>
      <c r="C6" s="6" t="str">
        <f>$B6&amp;", " &amp;C$1&amp;", " &amp;'index&amp;match'!C6</f>
        <v>1997, L1, 6</v>
      </c>
      <c r="D6" s="6" t="str">
        <f>$B6&amp;", " &amp;D$1&amp;", " &amp;'index&amp;match'!D6</f>
        <v>1997, L2, 1</v>
      </c>
      <c r="E6" s="6" t="str">
        <f ca="1">$B6&amp;", " &amp;E$1&amp;", " &amp;'index&amp;match'!E6</f>
        <v>1997, L3, 10</v>
      </c>
      <c r="F6" s="6" t="str">
        <f ca="1">$B6&amp;", " &amp;F$1&amp;", " &amp;'index&amp;match'!F6</f>
        <v>1997, L4, 5</v>
      </c>
      <c r="G6" s="6" t="str">
        <f ca="1">$B6&amp;", " &amp;G$1&amp;", " &amp;'index&amp;match'!G6</f>
        <v>1997, L5, 4</v>
      </c>
      <c r="H6" s="6" t="str">
        <f ca="1">$B6&amp;", " &amp;H$1&amp;", " &amp;'index&amp;match'!H6</f>
        <v>1997, L6, 1</v>
      </c>
    </row>
    <row r="7" spans="1:26">
      <c r="A7" s="1"/>
      <c r="B7" s="1">
        <v>1998</v>
      </c>
      <c r="C7" s="6" t="str">
        <f>$B7&amp;", " &amp;C$1&amp;", " &amp;'index&amp;match'!C7</f>
        <v>1998, L1, 1</v>
      </c>
      <c r="D7" s="6" t="str">
        <f>$B7&amp;", " &amp;D$1&amp;", " &amp;'index&amp;match'!D7</f>
        <v>1998, L2, 1</v>
      </c>
      <c r="E7" s="6" t="str">
        <f ca="1">$B7&amp;", " &amp;E$1&amp;", " &amp;'index&amp;match'!E7</f>
        <v>1998, L3, 1</v>
      </c>
      <c r="F7" s="6" t="str">
        <f ca="1">$B7&amp;", " &amp;F$1&amp;", " &amp;'index&amp;match'!F7</f>
        <v>1998, L4, 9</v>
      </c>
      <c r="G7" s="6" t="str">
        <f ca="1">$B7&amp;", " &amp;G$1&amp;", " &amp;'index&amp;match'!G7</f>
        <v>1998, L5, 10</v>
      </c>
      <c r="H7" s="6" t="str">
        <f ca="1">$B7&amp;", " &amp;H$1&amp;", " &amp;'index&amp;match'!H7</f>
        <v>1998, L6, 5</v>
      </c>
    </row>
    <row r="8" spans="1:26">
      <c r="A8" s="1"/>
      <c r="B8" s="1">
        <v>1999</v>
      </c>
      <c r="C8" s="6" t="str">
        <f>$B8&amp;", " &amp;C$1&amp;", " &amp;'index&amp;match'!C8</f>
        <v>1999, L1, 9</v>
      </c>
      <c r="D8" s="6" t="str">
        <f>$B8&amp;", " &amp;D$1&amp;", " &amp;'index&amp;match'!D8</f>
        <v>1999, L2, 1</v>
      </c>
      <c r="E8" s="6" t="str">
        <f ca="1">$B8&amp;", " &amp;E$1&amp;", " &amp;'index&amp;match'!E8</f>
        <v>1999, L3, 3</v>
      </c>
      <c r="F8" s="6" t="str">
        <f ca="1">$B8&amp;", " &amp;F$1&amp;", " &amp;'index&amp;match'!F8</f>
        <v>1999, L4, 4</v>
      </c>
      <c r="G8" s="6" t="str">
        <f ca="1">$B8&amp;", " &amp;G$1&amp;", " &amp;'index&amp;match'!G8</f>
        <v>1999, L5, 10</v>
      </c>
      <c r="H8" s="6" t="str">
        <f ca="1">$B8&amp;", " &amp;H$1&amp;", " &amp;'index&amp;match'!H8</f>
        <v>1999, L6, 8</v>
      </c>
    </row>
    <row r="9" spans="1:26">
      <c r="A9" s="1"/>
      <c r="B9" s="1">
        <v>2000</v>
      </c>
      <c r="C9" s="6" t="str">
        <f>$B9&amp;", " &amp;C$1&amp;", " &amp;'index&amp;match'!C9</f>
        <v>2000, L1, 1</v>
      </c>
      <c r="D9" s="6" t="str">
        <f>$B9&amp;", " &amp;D$1&amp;", " &amp;'index&amp;match'!D9</f>
        <v>2000, L2, 1</v>
      </c>
      <c r="E9" s="6" t="str">
        <f ca="1">$B9&amp;", " &amp;E$1&amp;", " &amp;'index&amp;match'!E9</f>
        <v>2000, L3, 4</v>
      </c>
      <c r="F9" s="6" t="str">
        <f ca="1">$B9&amp;", " &amp;F$1&amp;", " &amp;'index&amp;match'!F9</f>
        <v>2000, L4, 9</v>
      </c>
      <c r="G9" s="6" t="str">
        <f ca="1">$B9&amp;", " &amp;G$1&amp;", " &amp;'index&amp;match'!G9</f>
        <v>2000, L5, 5</v>
      </c>
      <c r="H9" s="6" t="str">
        <f ca="1">$B9&amp;", " &amp;H$1&amp;", " &amp;'index&amp;match'!H9</f>
        <v>2000, L6, 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98"/>
  <sheetViews>
    <sheetView zoomScaleNormal="100" workbookViewId="0">
      <selection activeCell="D17" sqref="D17"/>
    </sheetView>
  </sheetViews>
  <sheetFormatPr defaultRowHeight="15"/>
  <cols>
    <col min="1" max="2" width="24" bestFit="1" customWidth="1"/>
    <col min="3" max="3" width="23" bestFit="1" customWidth="1"/>
    <col min="4" max="5" width="24" bestFit="1" customWidth="1"/>
    <col min="6" max="6" width="23" bestFit="1" customWidth="1"/>
    <col min="8" max="8" width="32.5703125" customWidth="1"/>
  </cols>
  <sheetData>
    <row r="1" spans="1:8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H1" s="5">
        <f ca="1">OFFSET($A$1,
MOD(ROW()-ROW($F$1),ROWS($A$1:$A$8)),
TRUNC((ROW()-ROW($F$1))/ROWS($A$1:$A$8)),1,1)</f>
        <v>1</v>
      </c>
    </row>
    <row r="2" spans="1:8">
      <c r="A2">
        <v>7</v>
      </c>
      <c r="B2">
        <v>8</v>
      </c>
      <c r="C2">
        <v>9</v>
      </c>
      <c r="D2">
        <v>10</v>
      </c>
      <c r="E2">
        <v>11</v>
      </c>
      <c r="F2">
        <v>12</v>
      </c>
      <c r="H2">
        <f t="shared" ref="H2:H48" ca="1" si="0">OFFSET($A$1,
MOD(ROW()-ROW($F$1),ROWS($A$1:$A$8)),
TRUNC((ROW()-ROW($F$1))/ROWS($A$1:$A$8)),1,1)</f>
        <v>7</v>
      </c>
    </row>
    <row r="3" spans="1:8">
      <c r="A3">
        <v>13</v>
      </c>
      <c r="B3">
        <v>14</v>
      </c>
      <c r="C3">
        <v>15</v>
      </c>
      <c r="D3">
        <v>16</v>
      </c>
      <c r="E3">
        <v>17</v>
      </c>
      <c r="F3">
        <v>18</v>
      </c>
      <c r="H3">
        <f t="shared" ca="1" si="0"/>
        <v>13</v>
      </c>
    </row>
    <row r="4" spans="1:8">
      <c r="A4">
        <v>19</v>
      </c>
      <c r="B4">
        <v>20</v>
      </c>
      <c r="C4">
        <v>21</v>
      </c>
      <c r="D4">
        <v>22</v>
      </c>
      <c r="E4">
        <v>23</v>
      </c>
      <c r="F4">
        <v>24</v>
      </c>
      <c r="H4">
        <f t="shared" ca="1" si="0"/>
        <v>19</v>
      </c>
    </row>
    <row r="5" spans="1:8">
      <c r="A5">
        <v>25</v>
      </c>
      <c r="B5">
        <v>26</v>
      </c>
      <c r="C5">
        <v>27</v>
      </c>
      <c r="D5">
        <v>28</v>
      </c>
      <c r="E5">
        <v>29</v>
      </c>
      <c r="F5">
        <v>30</v>
      </c>
      <c r="H5">
        <f t="shared" ca="1" si="0"/>
        <v>25</v>
      </c>
    </row>
    <row r="6" spans="1:8">
      <c r="A6">
        <v>31</v>
      </c>
      <c r="B6">
        <v>32</v>
      </c>
      <c r="C6">
        <v>33</v>
      </c>
      <c r="D6">
        <v>34</v>
      </c>
      <c r="E6">
        <v>35</v>
      </c>
      <c r="F6">
        <v>36</v>
      </c>
      <c r="H6">
        <f t="shared" ca="1" si="0"/>
        <v>31</v>
      </c>
    </row>
    <row r="7" spans="1:8">
      <c r="A7">
        <v>37</v>
      </c>
      <c r="B7">
        <v>38</v>
      </c>
      <c r="C7">
        <v>39</v>
      </c>
      <c r="D7">
        <v>40</v>
      </c>
      <c r="E7">
        <v>41</v>
      </c>
      <c r="F7">
        <v>42</v>
      </c>
      <c r="H7">
        <f t="shared" ca="1" si="0"/>
        <v>37</v>
      </c>
    </row>
    <row r="8" spans="1:8">
      <c r="A8">
        <v>43</v>
      </c>
      <c r="B8">
        <v>44</v>
      </c>
      <c r="C8">
        <v>45</v>
      </c>
      <c r="D8">
        <v>46</v>
      </c>
      <c r="E8">
        <v>47</v>
      </c>
      <c r="F8">
        <v>48</v>
      </c>
      <c r="H8">
        <f t="shared" ca="1" si="0"/>
        <v>43</v>
      </c>
    </row>
    <row r="9" spans="1:8">
      <c r="H9">
        <f t="shared" ca="1" si="0"/>
        <v>2</v>
      </c>
    </row>
    <row r="10" spans="1:8">
      <c r="H10">
        <f t="shared" ca="1" si="0"/>
        <v>8</v>
      </c>
    </row>
    <row r="11" spans="1:8">
      <c r="H11">
        <f t="shared" ca="1" si="0"/>
        <v>14</v>
      </c>
    </row>
    <row r="12" spans="1:8">
      <c r="H12">
        <f t="shared" ca="1" si="0"/>
        <v>20</v>
      </c>
    </row>
    <row r="13" spans="1:8">
      <c r="H13">
        <f t="shared" ca="1" si="0"/>
        <v>26</v>
      </c>
    </row>
    <row r="14" spans="1:8">
      <c r="H14">
        <f t="shared" ca="1" si="0"/>
        <v>32</v>
      </c>
    </row>
    <row r="15" spans="1:8">
      <c r="H15">
        <f t="shared" ca="1" si="0"/>
        <v>38</v>
      </c>
    </row>
    <row r="16" spans="1:8">
      <c r="H16">
        <f t="shared" ca="1" si="0"/>
        <v>44</v>
      </c>
    </row>
    <row r="17" spans="8:8">
      <c r="H17">
        <f t="shared" ca="1" si="0"/>
        <v>3</v>
      </c>
    </row>
    <row r="18" spans="8:8">
      <c r="H18">
        <f t="shared" ca="1" si="0"/>
        <v>9</v>
      </c>
    </row>
    <row r="19" spans="8:8">
      <c r="H19">
        <f t="shared" ca="1" si="0"/>
        <v>15</v>
      </c>
    </row>
    <row r="20" spans="8:8">
      <c r="H20">
        <f t="shared" ca="1" si="0"/>
        <v>21</v>
      </c>
    </row>
    <row r="21" spans="8:8">
      <c r="H21">
        <f t="shared" ca="1" si="0"/>
        <v>27</v>
      </c>
    </row>
    <row r="22" spans="8:8">
      <c r="H22">
        <f t="shared" ca="1" si="0"/>
        <v>33</v>
      </c>
    </row>
    <row r="23" spans="8:8">
      <c r="H23">
        <f t="shared" ca="1" si="0"/>
        <v>39</v>
      </c>
    </row>
    <row r="24" spans="8:8">
      <c r="H24">
        <f t="shared" ca="1" si="0"/>
        <v>45</v>
      </c>
    </row>
    <row r="25" spans="8:8">
      <c r="H25">
        <f t="shared" ca="1" si="0"/>
        <v>4</v>
      </c>
    </row>
    <row r="26" spans="8:8">
      <c r="H26">
        <f t="shared" ca="1" si="0"/>
        <v>10</v>
      </c>
    </row>
    <row r="27" spans="8:8">
      <c r="H27">
        <f t="shared" ca="1" si="0"/>
        <v>16</v>
      </c>
    </row>
    <row r="28" spans="8:8">
      <c r="H28">
        <f t="shared" ca="1" si="0"/>
        <v>22</v>
      </c>
    </row>
    <row r="29" spans="8:8">
      <c r="H29">
        <f t="shared" ca="1" si="0"/>
        <v>28</v>
      </c>
    </row>
    <row r="30" spans="8:8">
      <c r="H30">
        <f t="shared" ca="1" si="0"/>
        <v>34</v>
      </c>
    </row>
    <row r="31" spans="8:8">
      <c r="H31">
        <f t="shared" ca="1" si="0"/>
        <v>40</v>
      </c>
    </row>
    <row r="32" spans="8:8">
      <c r="H32">
        <f t="shared" ca="1" si="0"/>
        <v>46</v>
      </c>
    </row>
    <row r="33" spans="8:8">
      <c r="H33">
        <f t="shared" ca="1" si="0"/>
        <v>5</v>
      </c>
    </row>
    <row r="34" spans="8:8">
      <c r="H34">
        <f t="shared" ca="1" si="0"/>
        <v>11</v>
      </c>
    </row>
    <row r="35" spans="8:8">
      <c r="H35">
        <f t="shared" ca="1" si="0"/>
        <v>17</v>
      </c>
    </row>
    <row r="36" spans="8:8">
      <c r="H36">
        <f t="shared" ca="1" si="0"/>
        <v>23</v>
      </c>
    </row>
    <row r="37" spans="8:8">
      <c r="H37">
        <f t="shared" ca="1" si="0"/>
        <v>29</v>
      </c>
    </row>
    <row r="38" spans="8:8">
      <c r="H38">
        <f t="shared" ca="1" si="0"/>
        <v>35</v>
      </c>
    </row>
    <row r="39" spans="8:8">
      <c r="H39">
        <f t="shared" ca="1" si="0"/>
        <v>41</v>
      </c>
    </row>
    <row r="40" spans="8:8">
      <c r="H40">
        <f t="shared" ca="1" si="0"/>
        <v>47</v>
      </c>
    </row>
    <row r="41" spans="8:8">
      <c r="H41">
        <f t="shared" ca="1" si="0"/>
        <v>6</v>
      </c>
    </row>
    <row r="42" spans="8:8">
      <c r="H42">
        <f t="shared" ca="1" si="0"/>
        <v>12</v>
      </c>
    </row>
    <row r="43" spans="8:8">
      <c r="H43">
        <f t="shared" ca="1" si="0"/>
        <v>18</v>
      </c>
    </row>
    <row r="44" spans="8:8">
      <c r="H44">
        <f t="shared" ca="1" si="0"/>
        <v>24</v>
      </c>
    </row>
    <row r="45" spans="8:8">
      <c r="H45">
        <f t="shared" ca="1" si="0"/>
        <v>30</v>
      </c>
    </row>
    <row r="46" spans="8:8">
      <c r="H46">
        <f t="shared" ca="1" si="0"/>
        <v>36</v>
      </c>
    </row>
    <row r="47" spans="8:8">
      <c r="H47">
        <f t="shared" ca="1" si="0"/>
        <v>42</v>
      </c>
    </row>
    <row r="48" spans="8:8">
      <c r="H48">
        <f t="shared" ca="1" si="0"/>
        <v>48</v>
      </c>
    </row>
    <row r="50" spans="1:4">
      <c r="A50" s="4" t="s">
        <v>0</v>
      </c>
      <c r="B50" s="4" t="s">
        <v>97</v>
      </c>
      <c r="C50" s="4" t="s">
        <v>1</v>
      </c>
      <c r="D50" s="4" t="s">
        <v>2</v>
      </c>
    </row>
    <row r="51" spans="1:4">
      <c r="A51">
        <v>1993</v>
      </c>
      <c r="B51" t="s">
        <v>88</v>
      </c>
      <c r="C51">
        <v>2</v>
      </c>
      <c r="D51" t="s">
        <v>89</v>
      </c>
    </row>
    <row r="52" spans="1:4">
      <c r="A52">
        <v>1994</v>
      </c>
      <c r="B52" t="s">
        <v>88</v>
      </c>
      <c r="C52">
        <v>10</v>
      </c>
      <c r="D52" t="s">
        <v>90</v>
      </c>
    </row>
    <row r="53" spans="1:4">
      <c r="A53">
        <v>1995</v>
      </c>
      <c r="B53" t="s">
        <v>88</v>
      </c>
      <c r="C53">
        <v>4</v>
      </c>
      <c r="D53" t="s">
        <v>91</v>
      </c>
    </row>
    <row r="54" spans="1:4">
      <c r="A54">
        <v>1996</v>
      </c>
      <c r="B54" t="s">
        <v>88</v>
      </c>
      <c r="C54">
        <v>6</v>
      </c>
      <c r="D54" t="s">
        <v>92</v>
      </c>
    </row>
    <row r="55" spans="1:4">
      <c r="A55">
        <v>1997</v>
      </c>
      <c r="B55" t="s">
        <v>88</v>
      </c>
      <c r="C55">
        <v>2</v>
      </c>
      <c r="D55" t="s">
        <v>93</v>
      </c>
    </row>
    <row r="56" spans="1:4">
      <c r="A56">
        <v>1998</v>
      </c>
      <c r="B56" t="s">
        <v>88</v>
      </c>
      <c r="C56">
        <v>7</v>
      </c>
      <c r="D56" t="s">
        <v>94</v>
      </c>
    </row>
    <row r="57" spans="1:4">
      <c r="A57">
        <v>1999</v>
      </c>
      <c r="B57" t="s">
        <v>88</v>
      </c>
      <c r="C57">
        <v>6</v>
      </c>
      <c r="D57" t="s">
        <v>95</v>
      </c>
    </row>
    <row r="58" spans="1:4">
      <c r="A58">
        <v>2000</v>
      </c>
      <c r="B58" t="s">
        <v>88</v>
      </c>
      <c r="C58">
        <v>2</v>
      </c>
      <c r="D58" t="s">
        <v>89</v>
      </c>
    </row>
    <row r="59" spans="1:4">
      <c r="A59">
        <v>1993</v>
      </c>
      <c r="B59" t="s">
        <v>4</v>
      </c>
      <c r="C59">
        <v>1</v>
      </c>
      <c r="D59" t="s">
        <v>89</v>
      </c>
    </row>
    <row r="60" spans="1:4">
      <c r="A60">
        <v>1994</v>
      </c>
      <c r="B60" t="s">
        <v>4</v>
      </c>
      <c r="C60">
        <v>1</v>
      </c>
      <c r="D60" t="s">
        <v>90</v>
      </c>
    </row>
    <row r="61" spans="1:4">
      <c r="A61">
        <v>1995</v>
      </c>
      <c r="B61" t="s">
        <v>4</v>
      </c>
      <c r="C61">
        <v>9</v>
      </c>
      <c r="D61" t="s">
        <v>91</v>
      </c>
    </row>
    <row r="62" spans="1:4">
      <c r="A62">
        <v>1996</v>
      </c>
      <c r="B62" t="s">
        <v>4</v>
      </c>
      <c r="C62">
        <v>5</v>
      </c>
      <c r="D62" t="s">
        <v>92</v>
      </c>
    </row>
    <row r="63" spans="1:4">
      <c r="A63">
        <v>1997</v>
      </c>
      <c r="B63" t="s">
        <v>4</v>
      </c>
      <c r="C63">
        <v>7</v>
      </c>
      <c r="D63" t="s">
        <v>93</v>
      </c>
    </row>
    <row r="64" spans="1:4">
      <c r="A64">
        <v>1998</v>
      </c>
      <c r="B64" t="s">
        <v>4</v>
      </c>
      <c r="C64">
        <v>10</v>
      </c>
      <c r="D64" t="s">
        <v>94</v>
      </c>
    </row>
    <row r="65" spans="1:4">
      <c r="A65">
        <v>1999</v>
      </c>
      <c r="B65" t="s">
        <v>4</v>
      </c>
      <c r="C65">
        <v>2</v>
      </c>
      <c r="D65" t="s">
        <v>95</v>
      </c>
    </row>
    <row r="66" spans="1:4">
      <c r="A66">
        <v>2000</v>
      </c>
      <c r="B66" t="s">
        <v>4</v>
      </c>
      <c r="C66">
        <v>6</v>
      </c>
      <c r="D66" t="s">
        <v>96</v>
      </c>
    </row>
    <row r="67" spans="1:4">
      <c r="A67">
        <v>1993</v>
      </c>
      <c r="B67" t="s">
        <v>5</v>
      </c>
      <c r="C67">
        <v>4</v>
      </c>
      <c r="D67" t="s">
        <v>89</v>
      </c>
    </row>
    <row r="68" spans="1:4">
      <c r="A68">
        <v>1994</v>
      </c>
      <c r="B68" t="s">
        <v>5</v>
      </c>
      <c r="C68">
        <v>5</v>
      </c>
      <c r="D68" t="s">
        <v>90</v>
      </c>
    </row>
    <row r="69" spans="1:4">
      <c r="A69">
        <v>1995</v>
      </c>
      <c r="B69" t="s">
        <v>5</v>
      </c>
      <c r="C69">
        <v>7</v>
      </c>
      <c r="D69" t="s">
        <v>91</v>
      </c>
    </row>
    <row r="70" spans="1:4">
      <c r="A70">
        <v>1996</v>
      </c>
      <c r="B70" t="s">
        <v>5</v>
      </c>
      <c r="C70">
        <v>2</v>
      </c>
      <c r="D70" t="s">
        <v>92</v>
      </c>
    </row>
    <row r="71" spans="1:4">
      <c r="A71">
        <v>1997</v>
      </c>
      <c r="B71" t="s">
        <v>5</v>
      </c>
      <c r="C71">
        <v>3</v>
      </c>
      <c r="D71" t="s">
        <v>93</v>
      </c>
    </row>
    <row r="72" spans="1:4">
      <c r="A72">
        <v>1998</v>
      </c>
      <c r="B72" t="s">
        <v>5</v>
      </c>
      <c r="C72">
        <v>3</v>
      </c>
      <c r="D72" t="s">
        <v>94</v>
      </c>
    </row>
    <row r="73" spans="1:4">
      <c r="A73">
        <v>1999</v>
      </c>
      <c r="B73" t="s">
        <v>5</v>
      </c>
      <c r="C73">
        <v>8</v>
      </c>
      <c r="D73" t="s">
        <v>95</v>
      </c>
    </row>
    <row r="74" spans="1:4">
      <c r="A74">
        <v>2000</v>
      </c>
      <c r="B74" t="s">
        <v>5</v>
      </c>
      <c r="C74">
        <v>8</v>
      </c>
      <c r="D74" t="s">
        <v>96</v>
      </c>
    </row>
    <row r="75" spans="1:4">
      <c r="A75">
        <v>1993</v>
      </c>
      <c r="B75" t="s">
        <v>6</v>
      </c>
      <c r="C75">
        <v>7</v>
      </c>
      <c r="D75" t="s">
        <v>89</v>
      </c>
    </row>
    <row r="76" spans="1:4">
      <c r="A76">
        <v>1994</v>
      </c>
      <c r="B76" t="s">
        <v>6</v>
      </c>
      <c r="C76">
        <v>9</v>
      </c>
      <c r="D76" t="s">
        <v>90</v>
      </c>
    </row>
    <row r="77" spans="1:4">
      <c r="A77">
        <v>1995</v>
      </c>
      <c r="B77" t="s">
        <v>6</v>
      </c>
      <c r="C77">
        <v>5</v>
      </c>
      <c r="D77" t="s">
        <v>91</v>
      </c>
    </row>
    <row r="78" spans="1:4">
      <c r="A78">
        <v>1996</v>
      </c>
      <c r="B78" t="s">
        <v>6</v>
      </c>
      <c r="C78">
        <v>7</v>
      </c>
      <c r="D78" t="s">
        <v>92</v>
      </c>
    </row>
    <row r="79" spans="1:4">
      <c r="A79">
        <v>1997</v>
      </c>
      <c r="B79" t="s">
        <v>6</v>
      </c>
      <c r="C79">
        <v>10</v>
      </c>
      <c r="D79" t="s">
        <v>93</v>
      </c>
    </row>
    <row r="80" spans="1:4">
      <c r="A80">
        <v>1998</v>
      </c>
      <c r="B80" t="s">
        <v>6</v>
      </c>
      <c r="C80">
        <v>9</v>
      </c>
      <c r="D80" t="s">
        <v>94</v>
      </c>
    </row>
    <row r="81" spans="1:4">
      <c r="A81">
        <v>1999</v>
      </c>
      <c r="B81" t="s">
        <v>6</v>
      </c>
      <c r="C81">
        <v>2</v>
      </c>
      <c r="D81" t="s">
        <v>95</v>
      </c>
    </row>
    <row r="82" spans="1:4">
      <c r="A82">
        <v>2000</v>
      </c>
      <c r="B82" t="s">
        <v>6</v>
      </c>
      <c r="C82">
        <v>8</v>
      </c>
      <c r="D82" t="s">
        <v>96</v>
      </c>
    </row>
    <row r="83" spans="1:4">
      <c r="A83">
        <v>1993</v>
      </c>
      <c r="B83" t="s">
        <v>8</v>
      </c>
      <c r="C83">
        <v>7</v>
      </c>
      <c r="D83" t="s">
        <v>89</v>
      </c>
    </row>
    <row r="84" spans="1:4">
      <c r="A84">
        <v>1994</v>
      </c>
      <c r="B84" t="s">
        <v>8</v>
      </c>
      <c r="C84">
        <v>5</v>
      </c>
      <c r="D84" t="s">
        <v>90</v>
      </c>
    </row>
    <row r="85" spans="1:4">
      <c r="A85">
        <v>1995</v>
      </c>
      <c r="B85" t="s">
        <v>8</v>
      </c>
      <c r="C85">
        <v>9</v>
      </c>
      <c r="D85" t="s">
        <v>91</v>
      </c>
    </row>
    <row r="86" spans="1:4">
      <c r="A86">
        <v>1996</v>
      </c>
      <c r="B86" t="s">
        <v>8</v>
      </c>
      <c r="C86">
        <v>2</v>
      </c>
      <c r="D86" t="s">
        <v>92</v>
      </c>
    </row>
    <row r="87" spans="1:4">
      <c r="A87">
        <v>1997</v>
      </c>
      <c r="B87" t="s">
        <v>8</v>
      </c>
      <c r="C87">
        <v>2</v>
      </c>
      <c r="D87" t="s">
        <v>93</v>
      </c>
    </row>
    <row r="88" spans="1:4">
      <c r="A88">
        <v>1998</v>
      </c>
      <c r="B88" t="s">
        <v>8</v>
      </c>
      <c r="C88">
        <v>10</v>
      </c>
      <c r="D88" t="s">
        <v>94</v>
      </c>
    </row>
    <row r="89" spans="1:4">
      <c r="A89">
        <v>1999</v>
      </c>
      <c r="B89" t="s">
        <v>8</v>
      </c>
      <c r="C89">
        <v>10</v>
      </c>
      <c r="D89" t="s">
        <v>95</v>
      </c>
    </row>
    <row r="90" spans="1:4">
      <c r="A90">
        <v>2000</v>
      </c>
      <c r="B90" t="s">
        <v>8</v>
      </c>
      <c r="C90">
        <v>3</v>
      </c>
      <c r="D90" t="s">
        <v>96</v>
      </c>
    </row>
    <row r="91" spans="1:4">
      <c r="A91">
        <v>1993</v>
      </c>
      <c r="B91" t="s">
        <v>9</v>
      </c>
      <c r="C91">
        <v>3</v>
      </c>
      <c r="D91" t="s">
        <v>89</v>
      </c>
    </row>
    <row r="92" spans="1:4">
      <c r="A92">
        <v>1994</v>
      </c>
      <c r="B92" t="s">
        <v>9</v>
      </c>
      <c r="C92">
        <v>4</v>
      </c>
      <c r="D92" t="s">
        <v>90</v>
      </c>
    </row>
    <row r="93" spans="1:4">
      <c r="A93">
        <v>1995</v>
      </c>
      <c r="B93" t="s">
        <v>9</v>
      </c>
      <c r="C93">
        <v>4</v>
      </c>
      <c r="D93" t="s">
        <v>91</v>
      </c>
    </row>
    <row r="94" spans="1:4">
      <c r="A94">
        <v>1996</v>
      </c>
      <c r="B94" t="s">
        <v>9</v>
      </c>
      <c r="C94">
        <v>3</v>
      </c>
      <c r="D94" t="s">
        <v>92</v>
      </c>
    </row>
    <row r="95" spans="1:4">
      <c r="A95">
        <v>1997</v>
      </c>
      <c r="B95" t="s">
        <v>9</v>
      </c>
      <c r="C95">
        <v>9</v>
      </c>
      <c r="D95" t="s">
        <v>93</v>
      </c>
    </row>
    <row r="96" spans="1:4">
      <c r="A96">
        <v>1998</v>
      </c>
      <c r="B96" t="s">
        <v>9</v>
      </c>
      <c r="C96">
        <v>1</v>
      </c>
      <c r="D96" t="s">
        <v>94</v>
      </c>
    </row>
    <row r="97" spans="1:4">
      <c r="A97">
        <v>1999</v>
      </c>
      <c r="B97" t="s">
        <v>9</v>
      </c>
      <c r="C97">
        <v>6</v>
      </c>
      <c r="D97" t="s">
        <v>95</v>
      </c>
    </row>
    <row r="98" spans="1:4">
      <c r="A98">
        <v>2000</v>
      </c>
      <c r="B98" t="s">
        <v>9</v>
      </c>
      <c r="C98">
        <v>3</v>
      </c>
      <c r="D98" t="s">
        <v>96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45"/>
  <sheetViews>
    <sheetView tabSelected="1" zoomScaleNormal="100" workbookViewId="0">
      <selection activeCell="I45" sqref="I45"/>
    </sheetView>
  </sheetViews>
  <sheetFormatPr defaultRowHeight="15"/>
  <cols>
    <col min="11" max="11" width="31.28515625" customWidth="1"/>
    <col min="12" max="12" width="25.140625" customWidth="1"/>
  </cols>
  <sheetData>
    <row r="1" spans="1:8">
      <c r="A1" t="s">
        <v>18</v>
      </c>
      <c r="B1" t="s">
        <v>19</v>
      </c>
      <c r="C1" t="s">
        <v>20</v>
      </c>
      <c r="D1" t="s">
        <v>21</v>
      </c>
      <c r="E1" t="s">
        <v>22</v>
      </c>
      <c r="F1" t="s">
        <v>23</v>
      </c>
      <c r="G1" t="s">
        <v>24</v>
      </c>
      <c r="H1" s="5" t="s">
        <v>25</v>
      </c>
    </row>
    <row r="2" spans="1:8">
      <c r="A2" t="s">
        <v>43</v>
      </c>
      <c r="B2" t="s">
        <v>27</v>
      </c>
      <c r="C2" t="s">
        <v>28</v>
      </c>
      <c r="D2" t="s">
        <v>29</v>
      </c>
      <c r="E2" s="2">
        <v>1992</v>
      </c>
      <c r="F2" s="2">
        <v>10</v>
      </c>
      <c r="G2" s="2">
        <v>11.07</v>
      </c>
      <c r="H2" s="2">
        <v>1.07</v>
      </c>
    </row>
    <row r="3" spans="1:8">
      <c r="A3" t="s">
        <v>26</v>
      </c>
      <c r="B3" t="s">
        <v>27</v>
      </c>
      <c r="C3" t="s">
        <v>28</v>
      </c>
      <c r="D3" t="s">
        <v>29</v>
      </c>
      <c r="E3" s="2">
        <v>1992</v>
      </c>
      <c r="F3" s="2">
        <v>50.6</v>
      </c>
      <c r="G3" s="2">
        <v>58.582999999999998</v>
      </c>
      <c r="H3" s="2">
        <v>7.9829999999999997</v>
      </c>
    </row>
    <row r="4" spans="1:8">
      <c r="A4" t="s">
        <v>30</v>
      </c>
      <c r="B4" t="s">
        <v>27</v>
      </c>
      <c r="C4" t="s">
        <v>28</v>
      </c>
      <c r="D4" t="s">
        <v>29</v>
      </c>
      <c r="E4" s="2">
        <v>1993</v>
      </c>
      <c r="F4" s="2">
        <v>24.524000000000001</v>
      </c>
      <c r="G4" s="2">
        <v>26.3</v>
      </c>
      <c r="H4" s="2">
        <v>1.776</v>
      </c>
    </row>
    <row r="5" spans="1:8">
      <c r="A5" t="s">
        <v>31</v>
      </c>
      <c r="B5" t="s">
        <v>32</v>
      </c>
      <c r="C5" t="s">
        <v>28</v>
      </c>
      <c r="D5" t="s">
        <v>29</v>
      </c>
      <c r="E5" s="2">
        <v>2000</v>
      </c>
      <c r="F5" s="2">
        <v>50.6</v>
      </c>
      <c r="G5" s="2">
        <v>58.582999999999998</v>
      </c>
      <c r="H5" s="2">
        <v>7.9829999999999997</v>
      </c>
    </row>
    <row r="6" spans="1:8">
      <c r="A6" t="s">
        <v>44</v>
      </c>
      <c r="B6" t="s">
        <v>36</v>
      </c>
      <c r="C6" t="s">
        <v>28</v>
      </c>
      <c r="D6" t="s">
        <v>29</v>
      </c>
      <c r="E6" s="2">
        <v>2001</v>
      </c>
      <c r="F6" s="2">
        <v>0</v>
      </c>
      <c r="G6" s="2">
        <v>8.1999999999999993</v>
      </c>
      <c r="H6" s="2">
        <v>8.1999999999999993</v>
      </c>
    </row>
    <row r="7" spans="1:8">
      <c r="A7" t="s">
        <v>45</v>
      </c>
      <c r="B7" t="s">
        <v>27</v>
      </c>
      <c r="C7" t="s">
        <v>28</v>
      </c>
      <c r="D7" t="s">
        <v>29</v>
      </c>
      <c r="E7" s="2">
        <v>2001</v>
      </c>
      <c r="F7" s="2">
        <v>8.1999999999999993</v>
      </c>
      <c r="G7" s="2">
        <v>12.486000000000001</v>
      </c>
      <c r="H7" s="2">
        <v>4.2859999999999996</v>
      </c>
    </row>
    <row r="8" spans="1:8">
      <c r="A8" t="s">
        <v>33</v>
      </c>
      <c r="B8" t="s">
        <v>34</v>
      </c>
      <c r="C8" t="s">
        <v>28</v>
      </c>
      <c r="D8" t="s">
        <v>29</v>
      </c>
      <c r="E8" s="2">
        <v>2001</v>
      </c>
      <c r="F8" s="2">
        <v>35.5</v>
      </c>
      <c r="G8" s="2">
        <v>39.5</v>
      </c>
      <c r="H8" s="2">
        <v>4</v>
      </c>
    </row>
    <row r="9" spans="1:8">
      <c r="A9" t="s">
        <v>33</v>
      </c>
      <c r="B9" t="s">
        <v>34</v>
      </c>
      <c r="C9" t="s">
        <v>28</v>
      </c>
      <c r="D9" t="s">
        <v>29</v>
      </c>
      <c r="E9" s="2">
        <v>2001</v>
      </c>
      <c r="F9" s="2">
        <v>39.5</v>
      </c>
      <c r="G9" s="2">
        <v>42</v>
      </c>
      <c r="H9" s="2">
        <v>2.5</v>
      </c>
    </row>
    <row r="10" spans="1:8">
      <c r="A10" t="s">
        <v>33</v>
      </c>
      <c r="B10" t="s">
        <v>34</v>
      </c>
      <c r="C10" t="s">
        <v>28</v>
      </c>
      <c r="D10" t="s">
        <v>29</v>
      </c>
      <c r="E10" s="2">
        <v>2001</v>
      </c>
      <c r="F10" s="2">
        <v>42</v>
      </c>
      <c r="G10" s="2">
        <v>43</v>
      </c>
      <c r="H10" s="2">
        <v>1</v>
      </c>
    </row>
    <row r="11" spans="1:8">
      <c r="A11" t="s">
        <v>33</v>
      </c>
      <c r="B11" t="s">
        <v>36</v>
      </c>
      <c r="C11" t="s">
        <v>28</v>
      </c>
      <c r="D11" t="s">
        <v>29</v>
      </c>
      <c r="E11" s="2">
        <v>2001</v>
      </c>
      <c r="F11" s="2">
        <v>43</v>
      </c>
      <c r="G11" s="2">
        <v>48</v>
      </c>
      <c r="H11" s="2">
        <v>5</v>
      </c>
    </row>
    <row r="12" spans="1:8">
      <c r="A12" t="s">
        <v>33</v>
      </c>
      <c r="B12" t="s">
        <v>34</v>
      </c>
      <c r="C12" t="s">
        <v>28</v>
      </c>
      <c r="D12" t="s">
        <v>29</v>
      </c>
      <c r="E12" s="2">
        <v>2001</v>
      </c>
      <c r="F12" s="2">
        <v>48</v>
      </c>
      <c r="G12" s="2">
        <v>50.6</v>
      </c>
      <c r="H12" s="2">
        <v>2.6</v>
      </c>
    </row>
    <row r="13" spans="1:8">
      <c r="A13" t="s">
        <v>35</v>
      </c>
      <c r="B13" t="s">
        <v>36</v>
      </c>
      <c r="C13" t="s">
        <v>28</v>
      </c>
      <c r="D13" t="s">
        <v>29</v>
      </c>
      <c r="E13" s="2">
        <v>2004</v>
      </c>
      <c r="F13" s="2">
        <v>16.100000000000001</v>
      </c>
      <c r="G13" s="2">
        <v>19.715</v>
      </c>
      <c r="H13" s="2">
        <v>3.6150000000000002</v>
      </c>
    </row>
    <row r="14" spans="1:8">
      <c r="A14" t="s">
        <v>37</v>
      </c>
      <c r="B14" t="s">
        <v>38</v>
      </c>
      <c r="C14" t="s">
        <v>28</v>
      </c>
      <c r="D14" t="s">
        <v>29</v>
      </c>
      <c r="E14" s="2">
        <v>2005</v>
      </c>
      <c r="F14" s="2">
        <v>19.885000000000002</v>
      </c>
      <c r="G14" s="2">
        <v>25</v>
      </c>
      <c r="H14" s="2">
        <v>5.1150000000000002</v>
      </c>
    </row>
    <row r="15" spans="1:8">
      <c r="A15" t="s">
        <v>39</v>
      </c>
      <c r="B15" t="s">
        <v>38</v>
      </c>
      <c r="C15" t="s">
        <v>28</v>
      </c>
      <c r="D15" t="s">
        <v>29</v>
      </c>
      <c r="E15" s="2">
        <v>2006</v>
      </c>
      <c r="F15" s="2">
        <v>50.6</v>
      </c>
      <c r="G15" s="2">
        <v>58.582999999999998</v>
      </c>
      <c r="H15" s="2">
        <v>7.9829999999999997</v>
      </c>
    </row>
    <row r="16" spans="1:8">
      <c r="A16" t="s">
        <v>46</v>
      </c>
      <c r="B16" t="s">
        <v>27</v>
      </c>
      <c r="C16" t="s">
        <v>28</v>
      </c>
      <c r="D16" t="s">
        <v>29</v>
      </c>
      <c r="E16" s="2">
        <v>2009</v>
      </c>
      <c r="F16" s="2">
        <v>19.885000000000002</v>
      </c>
      <c r="G16" s="2">
        <v>24.504000000000001</v>
      </c>
      <c r="H16" s="2">
        <v>4.6189999999999998</v>
      </c>
    </row>
    <row r="17" spans="1:12">
      <c r="A17" t="s">
        <v>40</v>
      </c>
      <c r="B17" t="s">
        <v>38</v>
      </c>
      <c r="C17" t="s">
        <v>28</v>
      </c>
      <c r="D17" t="s">
        <v>29</v>
      </c>
      <c r="E17" s="2">
        <v>2009</v>
      </c>
      <c r="F17" s="2">
        <v>50.6</v>
      </c>
      <c r="G17" s="2">
        <v>58.582999999999998</v>
      </c>
      <c r="H17" s="2">
        <v>7.9829999999999997</v>
      </c>
    </row>
    <row r="18" spans="1:12">
      <c r="A18" t="s">
        <v>47</v>
      </c>
      <c r="B18" t="s">
        <v>36</v>
      </c>
      <c r="C18" t="s">
        <v>28</v>
      </c>
      <c r="D18" t="s">
        <v>29</v>
      </c>
      <c r="E18" s="2">
        <v>2010</v>
      </c>
      <c r="F18" s="2">
        <v>16.2</v>
      </c>
      <c r="G18" s="2">
        <v>16.3</v>
      </c>
      <c r="H18" s="2">
        <v>0.1</v>
      </c>
    </row>
    <row r="19" spans="1:12">
      <c r="A19" t="s">
        <v>47</v>
      </c>
      <c r="B19" t="s">
        <v>36</v>
      </c>
      <c r="C19" t="s">
        <v>28</v>
      </c>
      <c r="D19" t="s">
        <v>29</v>
      </c>
      <c r="E19" s="2">
        <v>2010</v>
      </c>
      <c r="F19" s="2">
        <v>16.3</v>
      </c>
      <c r="G19" s="2">
        <v>16.399999999999999</v>
      </c>
      <c r="H19" s="2">
        <v>0.1</v>
      </c>
    </row>
    <row r="20" spans="1:12">
      <c r="A20" t="s">
        <v>41</v>
      </c>
      <c r="B20" t="s">
        <v>27</v>
      </c>
      <c r="C20" t="s">
        <v>28</v>
      </c>
      <c r="D20" t="s">
        <v>29</v>
      </c>
      <c r="E20" s="2">
        <v>2010</v>
      </c>
      <c r="F20" s="2">
        <v>50.6</v>
      </c>
      <c r="G20" s="2">
        <v>58.582999999999998</v>
      </c>
      <c r="H20" s="2">
        <v>7.9829999999999997</v>
      </c>
    </row>
    <row r="21" spans="1:12">
      <c r="A21" t="s">
        <v>42</v>
      </c>
      <c r="B21" t="s">
        <v>38</v>
      </c>
      <c r="C21" t="s">
        <v>28</v>
      </c>
      <c r="D21" t="s">
        <v>29</v>
      </c>
      <c r="E21" s="2">
        <v>2012</v>
      </c>
      <c r="F21" s="2">
        <v>30.5</v>
      </c>
      <c r="G21" s="2">
        <v>35.5</v>
      </c>
      <c r="H21" s="2">
        <v>5</v>
      </c>
    </row>
    <row r="22" spans="1:12">
      <c r="A22" t="s">
        <v>42</v>
      </c>
      <c r="B22" t="s">
        <v>27</v>
      </c>
      <c r="C22" t="s">
        <v>28</v>
      </c>
      <c r="D22" t="s">
        <v>29</v>
      </c>
      <c r="E22" s="2">
        <v>2012</v>
      </c>
      <c r="F22" s="2">
        <v>30.5</v>
      </c>
      <c r="G22" s="2">
        <v>50.6</v>
      </c>
      <c r="H22" s="2">
        <v>20.100000000000001</v>
      </c>
    </row>
    <row r="24" spans="1:12">
      <c r="A24" s="5" t="s">
        <v>25</v>
      </c>
      <c r="B24" t="s">
        <v>18</v>
      </c>
      <c r="C24" t="s">
        <v>19</v>
      </c>
      <c r="D24" t="s">
        <v>20</v>
      </c>
      <c r="E24" t="s">
        <v>21</v>
      </c>
      <c r="F24" t="s">
        <v>22</v>
      </c>
      <c r="G24" t="s">
        <v>23</v>
      </c>
      <c r="H24" t="s">
        <v>24</v>
      </c>
      <c r="I24">
        <v>1992</v>
      </c>
      <c r="J24">
        <v>10</v>
      </c>
      <c r="K24" t="e">
        <f t="array" ref="K24">INDEX($C$25:$C$45, MATCH(1,( $A$25:$A$45=J24)*($F$25:$F$45=I24), 0))</f>
        <v>#N/A</v>
      </c>
      <c r="L24" t="str">
        <f t="array" ref="L24">IF(ISERROR(INDEX($B$25:$B$45,MATCH(1,($A$25:$A$45=J24)*($F$25:$F$45=I24),0))),"",INDEX($B$25:$B$45,MATCH(1,($A$25:$A$45=J24)*($F$25:$F$45=I24),0)))</f>
        <v/>
      </c>
    </row>
    <row r="25" spans="1:12">
      <c r="A25" s="2">
        <v>1.07</v>
      </c>
      <c r="B25" t="s">
        <v>43</v>
      </c>
      <c r="C25" t="s">
        <v>27</v>
      </c>
      <c r="D25" t="s">
        <v>28</v>
      </c>
      <c r="E25" t="s">
        <v>29</v>
      </c>
      <c r="F25" s="2">
        <v>1992</v>
      </c>
      <c r="G25" s="2">
        <v>10</v>
      </c>
      <c r="H25" s="2">
        <v>11.07</v>
      </c>
      <c r="I25">
        <v>1992</v>
      </c>
      <c r="J25">
        <v>1.07</v>
      </c>
      <c r="K25" t="str">
        <f t="array" ref="K25">INDEX($C$25:$C$45, MATCH(1,( $A$25:$A$45=J25)*($F$25:$F$45=I25), 0))</f>
        <v>HMA Thin Overlay</v>
      </c>
      <c r="L25" t="str">
        <f t="array" ref="L25">IF(ISERROR(INDEX($B$25:$B$45,MATCH(1,($A$25:$A$45=J25)*($F$25:$F$45=I25),0))),"",INDEX($B$25:$B$45,MATCH(1,($A$25:$A$45=J25)*($F$25:$F$45=I25),0)))</f>
        <v>04-19246</v>
      </c>
    </row>
    <row r="26" spans="1:12">
      <c r="A26" s="2">
        <v>7.9829999999999997</v>
      </c>
      <c r="B26" t="s">
        <v>26</v>
      </c>
      <c r="C26" t="s">
        <v>27</v>
      </c>
      <c r="D26" t="s">
        <v>28</v>
      </c>
      <c r="E26" t="s">
        <v>29</v>
      </c>
      <c r="F26" s="2">
        <v>1992</v>
      </c>
      <c r="G26" s="2">
        <v>50.6</v>
      </c>
      <c r="H26" s="2">
        <v>58.582999999999998</v>
      </c>
      <c r="I26">
        <v>1992</v>
      </c>
      <c r="J26">
        <v>39.53</v>
      </c>
      <c r="K26" t="e">
        <f t="array" ref="K26">INDEX($C$25:$C$45, MATCH(1,( $A$25:$A$45=J26)*($F$25:$F$45=I26), 0))</f>
        <v>#N/A</v>
      </c>
      <c r="L26" t="str">
        <f t="array" ref="L26">IF(ISERROR(INDEX($B$25:$B$45,MATCH(1,($A$25:$A$45=J26)*($F$25:$F$45=I26),0))),"",INDEX($B$25:$B$45,MATCH(1,($A$25:$A$45=J26)*($F$25:$F$45=I26),0)))</f>
        <v/>
      </c>
    </row>
    <row r="27" spans="1:12">
      <c r="A27">
        <v>1.776</v>
      </c>
      <c r="B27" t="s">
        <v>30</v>
      </c>
      <c r="C27" t="s">
        <v>27</v>
      </c>
      <c r="D27" t="s">
        <v>28</v>
      </c>
      <c r="E27" t="s">
        <v>29</v>
      </c>
      <c r="F27" s="2">
        <v>1993</v>
      </c>
      <c r="G27" s="2">
        <v>24.524000000000001</v>
      </c>
      <c r="H27" s="2">
        <v>26.3</v>
      </c>
      <c r="I27">
        <v>1992</v>
      </c>
      <c r="J27">
        <v>7.9829999999999997</v>
      </c>
      <c r="K27" t="str">
        <f t="array" ref="K27">INDEX($C$25:$C$45, MATCH(1,( $A$25:$A$45=J27)*($F$25:$F$45=I27), 0))</f>
        <v>HMA Thin Overlay</v>
      </c>
      <c r="L27" t="str">
        <f t="array" ref="L27">IF(ISERROR(INDEX($B$25:$B$45,MATCH(1,($A$25:$A$45=J27)*($F$25:$F$45=I27),0))),"",INDEX($B$25:$B$45,MATCH(1,($A$25:$A$45=J27)*($F$25:$F$45=I27),0)))</f>
        <v>04-18973</v>
      </c>
    </row>
    <row r="28" spans="1:12">
      <c r="A28" s="2">
        <v>7.9829999999999997</v>
      </c>
      <c r="B28" t="s">
        <v>31</v>
      </c>
      <c r="C28" t="s">
        <v>32</v>
      </c>
      <c r="D28" t="s">
        <v>28</v>
      </c>
      <c r="E28" t="s">
        <v>29</v>
      </c>
      <c r="F28" s="2">
        <v>2000</v>
      </c>
      <c r="G28" s="2">
        <v>50.6</v>
      </c>
      <c r="H28" s="2">
        <v>58.582999999999998</v>
      </c>
      <c r="I28">
        <v>1993</v>
      </c>
      <c r="J28">
        <v>24.524000000000001</v>
      </c>
      <c r="K28" t="e">
        <f t="array" ref="K28">INDEX($C$25:$C$45, MATCH(1,( $A$25:$A$45=J28)*($F$25:$F$45=I28), 0))</f>
        <v>#N/A</v>
      </c>
      <c r="L28" t="str">
        <f t="array" ref="L28">IF(ISERROR(INDEX($B$25:$B$45,MATCH(1,($A$25:$A$45=J28)*($F$25:$F$45=I28),0))),"",INDEX($B$25:$B$45,MATCH(1,($A$25:$A$45=J28)*($F$25:$F$45=I28),0)))</f>
        <v/>
      </c>
    </row>
    <row r="29" spans="1:12">
      <c r="A29" s="2">
        <v>8.1999999999999993</v>
      </c>
      <c r="B29" t="s">
        <v>44</v>
      </c>
      <c r="C29" t="s">
        <v>36</v>
      </c>
      <c r="D29" t="s">
        <v>28</v>
      </c>
      <c r="E29" t="s">
        <v>29</v>
      </c>
      <c r="F29" s="2">
        <v>2001</v>
      </c>
      <c r="G29" s="2">
        <v>0</v>
      </c>
      <c r="H29" s="2">
        <v>8.1999999999999993</v>
      </c>
      <c r="I29">
        <v>1993</v>
      </c>
      <c r="J29">
        <v>1.776</v>
      </c>
      <c r="K29" t="str">
        <f t="array" ref="K29">INDEX($C$25:$C$45, MATCH(1,( $A$25:$A$45=J29)*($F$25:$F$45=I29), 0))</f>
        <v>HMA Thin Overlay</v>
      </c>
      <c r="L29" t="str">
        <f t="array" ref="L29">IF(ISERROR(INDEX($B$25:$B$45,MATCH(1,($A$25:$A$45=J29)*($F$25:$F$45=I29),0))),"",INDEX($B$25:$B$45,MATCH(1,($A$25:$A$45=J29)*($F$25:$F$45=I29),0)))</f>
        <v>04-19289</v>
      </c>
    </row>
    <row r="30" spans="1:12">
      <c r="A30" s="2">
        <v>4.2859999999999996</v>
      </c>
      <c r="B30" t="s">
        <v>45</v>
      </c>
      <c r="C30" t="s">
        <v>27</v>
      </c>
      <c r="D30" t="s">
        <v>28</v>
      </c>
      <c r="E30" t="s">
        <v>29</v>
      </c>
      <c r="F30" s="2">
        <v>2001</v>
      </c>
      <c r="G30" s="2">
        <v>8.1999999999999993</v>
      </c>
      <c r="H30" s="2">
        <v>12.486000000000001</v>
      </c>
      <c r="I30">
        <v>2000</v>
      </c>
      <c r="J30">
        <v>50.6</v>
      </c>
      <c r="K30" t="e">
        <f t="array" ref="K30">INDEX($C$25:$C$45, MATCH(1,( $A$25:$A$45=J30)*($F$25:$F$45=I30), 0))</f>
        <v>#N/A</v>
      </c>
      <c r="L30" t="str">
        <f t="array" ref="L30">IF(ISERROR(INDEX($B$25:$B$45,MATCH(1,($A$25:$A$45=J30)*($F$25:$F$45=I30),0))),"",INDEX($B$25:$B$45,MATCH(1,($A$25:$A$45=J30)*($F$25:$F$45=I30),0)))</f>
        <v/>
      </c>
    </row>
    <row r="31" spans="1:12">
      <c r="A31" s="2">
        <v>4</v>
      </c>
      <c r="B31" t="s">
        <v>33</v>
      </c>
      <c r="C31" t="s">
        <v>34</v>
      </c>
      <c r="D31" t="s">
        <v>28</v>
      </c>
      <c r="E31" t="s">
        <v>29</v>
      </c>
      <c r="F31" s="2">
        <v>2001</v>
      </c>
      <c r="G31" s="2">
        <v>35.5</v>
      </c>
      <c r="H31" s="2">
        <v>39.5</v>
      </c>
      <c r="I31">
        <v>2000</v>
      </c>
      <c r="J31">
        <v>7.9829999999999997</v>
      </c>
      <c r="K31" t="str">
        <f t="array" ref="K31">INDEX($C$25:$C$45, MATCH(1,( $A$25:$A$45=J31)*($F$25:$F$45=I31), 0))</f>
        <v>Chip Seal</v>
      </c>
      <c r="L31" t="str">
        <f t="array" ref="L31">IF(ISERROR(INDEX($B$25:$B$45,MATCH(1,($A$25:$A$45=J31)*($F$25:$F$45=I31),0))),"",INDEX($B$25:$B$45,MATCH(1,($A$25:$A$45=J31)*($F$25:$F$45=I31),0)))</f>
        <v>04-1R110</v>
      </c>
    </row>
    <row r="32" spans="1:12">
      <c r="A32" s="2">
        <v>2.5</v>
      </c>
      <c r="B32" t="s">
        <v>33</v>
      </c>
      <c r="C32" t="s">
        <v>34</v>
      </c>
      <c r="D32" t="s">
        <v>28</v>
      </c>
      <c r="E32" t="s">
        <v>29</v>
      </c>
      <c r="F32" s="2">
        <v>2001</v>
      </c>
      <c r="G32" s="2">
        <v>39.5</v>
      </c>
      <c r="H32" s="2">
        <v>42</v>
      </c>
    </row>
    <row r="33" spans="1:8">
      <c r="A33" s="2">
        <v>1</v>
      </c>
      <c r="B33" t="s">
        <v>33</v>
      </c>
      <c r="C33" t="s">
        <v>34</v>
      </c>
      <c r="D33" t="s">
        <v>28</v>
      </c>
      <c r="E33" t="s">
        <v>29</v>
      </c>
      <c r="F33" s="2">
        <v>2001</v>
      </c>
      <c r="G33" s="2">
        <v>42</v>
      </c>
      <c r="H33" s="2">
        <v>43</v>
      </c>
    </row>
    <row r="34" spans="1:8">
      <c r="A34" s="2">
        <v>5</v>
      </c>
      <c r="B34" t="s">
        <v>33</v>
      </c>
      <c r="C34" t="s">
        <v>36</v>
      </c>
      <c r="D34" t="s">
        <v>28</v>
      </c>
      <c r="E34" t="s">
        <v>29</v>
      </c>
      <c r="F34" s="2">
        <v>2001</v>
      </c>
      <c r="G34" s="2">
        <v>43</v>
      </c>
      <c r="H34" s="2">
        <v>48</v>
      </c>
    </row>
    <row r="35" spans="1:8">
      <c r="A35" s="2">
        <v>2.6</v>
      </c>
      <c r="B35" t="s">
        <v>33</v>
      </c>
      <c r="C35" t="s">
        <v>34</v>
      </c>
      <c r="D35" t="s">
        <v>28</v>
      </c>
      <c r="E35" t="s">
        <v>29</v>
      </c>
      <c r="F35" s="2">
        <v>2001</v>
      </c>
      <c r="G35" s="2">
        <v>48</v>
      </c>
      <c r="H35" s="2">
        <v>50.6</v>
      </c>
    </row>
    <row r="36" spans="1:8">
      <c r="A36" s="2">
        <v>3.6150000000000002</v>
      </c>
      <c r="B36" t="s">
        <v>35</v>
      </c>
      <c r="C36" t="s">
        <v>36</v>
      </c>
      <c r="D36" t="s">
        <v>28</v>
      </c>
      <c r="E36" t="s">
        <v>29</v>
      </c>
      <c r="F36" s="2">
        <v>2004</v>
      </c>
      <c r="G36" s="2">
        <v>16.100000000000001</v>
      </c>
      <c r="H36" s="2">
        <v>19.715</v>
      </c>
    </row>
    <row r="37" spans="1:8">
      <c r="A37" s="2">
        <v>5.1150000000000002</v>
      </c>
      <c r="B37" t="s">
        <v>37</v>
      </c>
      <c r="C37" t="s">
        <v>38</v>
      </c>
      <c r="D37" t="s">
        <v>28</v>
      </c>
      <c r="E37" t="s">
        <v>29</v>
      </c>
      <c r="F37" s="2">
        <v>2005</v>
      </c>
      <c r="G37" s="2">
        <v>19.885000000000002</v>
      </c>
      <c r="H37" s="2">
        <v>25</v>
      </c>
    </row>
    <row r="38" spans="1:8">
      <c r="A38" s="2">
        <v>7.9829999999999997</v>
      </c>
      <c r="B38" t="s">
        <v>39</v>
      </c>
      <c r="C38" t="s">
        <v>38</v>
      </c>
      <c r="D38" t="s">
        <v>28</v>
      </c>
      <c r="E38" t="s">
        <v>29</v>
      </c>
      <c r="F38" s="2">
        <v>2006</v>
      </c>
      <c r="G38" s="2">
        <v>50.6</v>
      </c>
      <c r="H38" s="2">
        <v>58.582999999999998</v>
      </c>
    </row>
    <row r="39" spans="1:8">
      <c r="A39" s="2">
        <v>4.6189999999999998</v>
      </c>
      <c r="B39" t="s">
        <v>46</v>
      </c>
      <c r="C39" t="s">
        <v>27</v>
      </c>
      <c r="D39" t="s">
        <v>28</v>
      </c>
      <c r="E39" t="s">
        <v>29</v>
      </c>
      <c r="F39" s="2">
        <v>2009</v>
      </c>
      <c r="G39" s="2">
        <v>19.885000000000002</v>
      </c>
      <c r="H39" s="2">
        <v>24.504000000000001</v>
      </c>
    </row>
    <row r="40" spans="1:8">
      <c r="A40" s="2">
        <v>7.9829999999999997</v>
      </c>
      <c r="B40" t="s">
        <v>40</v>
      </c>
      <c r="C40" t="s">
        <v>38</v>
      </c>
      <c r="D40" t="s">
        <v>28</v>
      </c>
      <c r="E40" t="s">
        <v>29</v>
      </c>
      <c r="F40" s="2">
        <v>2009</v>
      </c>
      <c r="G40" s="2">
        <v>50.6</v>
      </c>
      <c r="H40" s="2">
        <v>58.582999999999998</v>
      </c>
    </row>
    <row r="41" spans="1:8">
      <c r="A41" s="2">
        <v>0.1</v>
      </c>
      <c r="B41" t="s">
        <v>47</v>
      </c>
      <c r="C41" t="s">
        <v>36</v>
      </c>
      <c r="D41" t="s">
        <v>28</v>
      </c>
      <c r="E41" t="s">
        <v>29</v>
      </c>
      <c r="F41" s="2">
        <v>2010</v>
      </c>
      <c r="G41" s="2">
        <v>16.2</v>
      </c>
      <c r="H41" s="2">
        <v>16.3</v>
      </c>
    </row>
    <row r="42" spans="1:8">
      <c r="A42" s="2">
        <v>0.1</v>
      </c>
      <c r="B42" t="s">
        <v>47</v>
      </c>
      <c r="C42" t="s">
        <v>36</v>
      </c>
      <c r="D42" t="s">
        <v>28</v>
      </c>
      <c r="E42" t="s">
        <v>29</v>
      </c>
      <c r="F42" s="2">
        <v>2010</v>
      </c>
      <c r="G42" s="2">
        <v>16.3</v>
      </c>
      <c r="H42" s="2">
        <v>16.399999999999999</v>
      </c>
    </row>
    <row r="43" spans="1:8">
      <c r="A43" s="2">
        <v>7.9829999999999997</v>
      </c>
      <c r="B43" t="s">
        <v>41</v>
      </c>
      <c r="C43" t="s">
        <v>27</v>
      </c>
      <c r="D43" t="s">
        <v>28</v>
      </c>
      <c r="E43" t="s">
        <v>29</v>
      </c>
      <c r="F43" s="2">
        <v>2010</v>
      </c>
      <c r="G43" s="2">
        <v>50.6</v>
      </c>
      <c r="H43" s="2">
        <v>58.582999999999998</v>
      </c>
    </row>
    <row r="44" spans="1:8">
      <c r="A44" s="2">
        <v>5</v>
      </c>
      <c r="B44" t="s">
        <v>42</v>
      </c>
      <c r="C44" t="s">
        <v>38</v>
      </c>
      <c r="D44" t="s">
        <v>28</v>
      </c>
      <c r="E44" t="s">
        <v>29</v>
      </c>
      <c r="F44" s="2">
        <v>2012</v>
      </c>
      <c r="G44" s="2">
        <v>30.5</v>
      </c>
      <c r="H44" s="2">
        <v>35.5</v>
      </c>
    </row>
    <row r="45" spans="1:8">
      <c r="A45" s="2">
        <v>20.100000000000001</v>
      </c>
      <c r="B45" t="s">
        <v>42</v>
      </c>
      <c r="C45" t="s">
        <v>27</v>
      </c>
      <c r="D45" t="s">
        <v>28</v>
      </c>
      <c r="E45" t="s">
        <v>29</v>
      </c>
      <c r="F45" s="2">
        <v>2012</v>
      </c>
      <c r="G45" s="2">
        <v>30.5</v>
      </c>
      <c r="H45" s="2">
        <v>50.6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data</vt:lpstr>
      <vt:lpstr>sheet1</vt:lpstr>
      <vt:lpstr>index&amp;match</vt:lpstr>
      <vt:lpstr>AcuraIndexMatch-Vlookup</vt:lpstr>
      <vt:lpstr>vlookupmultipleresults</vt:lpstr>
      <vt:lpstr>combineheadercontent</vt:lpstr>
      <vt:lpstr>tabletocolumn</vt:lpstr>
      <vt:lpstr>vlookup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shq153</cp:lastModifiedBy>
  <dcterms:created xsi:type="dcterms:W3CDTF">2006-09-16T00:00:00Z</dcterms:created>
  <dcterms:modified xsi:type="dcterms:W3CDTF">2014-08-28T23:35:55Z</dcterms:modified>
</cp:coreProperties>
</file>